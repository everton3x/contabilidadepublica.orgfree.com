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GUT" sheetId="1" state="visible" r:id="rId2"/>
    <sheet name="Tabela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B2" authorId="0">
      <text>
        <r>
          <rPr>
            <sz val="10"/>
            <rFont val="Arial"/>
            <family val="2"/>
          </rPr>
          <t xml:space="preserve">Informe o ano em que os procedimentos já devem estar sendo executados.</t>
        </r>
      </text>
    </comment>
    <comment ref="C2" authorId="0">
      <text>
        <r>
          <rPr>
            <sz val="10"/>
            <rFont val="Arial"/>
            <family val="2"/>
          </rPr>
          <t xml:space="preserve">Informe 0 se não há verificação por parte da STN ou TCE sobre a execução do procedimento; ou 1 se já houver verificação.</t>
        </r>
      </text>
    </comment>
    <comment ref="I2" authorId="0">
      <text>
        <r>
          <rPr>
            <sz val="10"/>
            <rFont val="Arial"/>
            <family val="2"/>
          </rPr>
          <t xml:space="preserve">Informe a fase da implantação, de acordo com a tabela Fases da implantação, da guia Tabelas.</t>
        </r>
      </text>
    </comment>
  </commentList>
</comments>
</file>

<file path=xl/sharedStrings.xml><?xml version="1.0" encoding="utf-8"?>
<sst xmlns="http://schemas.openxmlformats.org/spreadsheetml/2006/main" count="55" uniqueCount="51">
  <si>
    <t xml:space="preserve">Matriz Gravidade-Urgência-Tendência (GUT)</t>
  </si>
  <si>
    <t xml:space="preserve">Procedimento</t>
  </si>
  <si>
    <t xml:space="preserve">Prazo</t>
  </si>
  <si>
    <t xml:space="preserve">Verificado</t>
  </si>
  <si>
    <t xml:space="preserve">Gravidade</t>
  </si>
  <si>
    <t xml:space="preserve">Urgência</t>
  </si>
  <si>
    <t xml:space="preserve">Tendência</t>
  </si>
  <si>
    <t xml:space="preserve">Índice GUT</t>
  </si>
  <si>
    <t xml:space="preserve">Vencido</t>
  </si>
  <si>
    <t xml:space="preserve">Implantação</t>
  </si>
  <si>
    <t xml:space="preserve">Dívida Ativa</t>
  </si>
  <si>
    <t xml:space="preserve">Provisão Atuarial do RPPS</t>
  </si>
  <si>
    <t xml:space="preserve">Obrigações com fornecedores por competência</t>
  </si>
  <si>
    <t xml:space="preserve">Obrigações com empregados por competência</t>
  </si>
  <si>
    <t xml:space="preserve">Demais créditos a receber</t>
  </si>
  <si>
    <t xml:space="preserve">Provisões por competência</t>
  </si>
  <si>
    <t xml:space="preserve">Ativos e Passivos Contingentes</t>
  </si>
  <si>
    <t xml:space="preserve">Bens móveis e imóveis</t>
  </si>
  <si>
    <t xml:space="preserve">Empréstimos e financiamentos por competência</t>
  </si>
  <si>
    <t xml:space="preserve">Investimentos permanentes</t>
  </si>
  <si>
    <t xml:space="preserve">Créditos tributários e de contribuições</t>
  </si>
  <si>
    <t xml:space="preserve">Créditos previdenciários</t>
  </si>
  <si>
    <t xml:space="preserve">Softwares, marcas, patentes e licenças</t>
  </si>
  <si>
    <t xml:space="preserve">Estoques</t>
  </si>
  <si>
    <t xml:space="preserve">Bens de infraestrutura</t>
  </si>
  <si>
    <t xml:space="preserve">Patrimônio cultural</t>
  </si>
  <si>
    <t xml:space="preserve">Matriz GUT</t>
  </si>
  <si>
    <t xml:space="preserve">Fases de implantação</t>
  </si>
  <si>
    <t xml:space="preserve">Não iniciada</t>
  </si>
  <si>
    <t xml:space="preserve">Sem gravidade</t>
  </si>
  <si>
    <t xml:space="preserve">Iniciada</t>
  </si>
  <si>
    <t xml:space="preserve">Pouco grave</t>
  </si>
  <si>
    <t xml:space="preserve">Concluída</t>
  </si>
  <si>
    <t xml:space="preserve">Grave</t>
  </si>
  <si>
    <t xml:space="preserve">Muito grave</t>
  </si>
  <si>
    <t xml:space="preserve">Status do prazo</t>
  </si>
  <si>
    <t xml:space="preserve">Extremamente grave</t>
  </si>
  <si>
    <t xml:space="preserve">Não vencido</t>
  </si>
  <si>
    <t xml:space="preserve">Pode esperar</t>
  </si>
  <si>
    <t xml:space="preserve">Verificação</t>
  </si>
  <si>
    <t xml:space="preserve">Pouco urgente</t>
  </si>
  <si>
    <t xml:space="preserve">Não é verificado</t>
  </si>
  <si>
    <t xml:space="preserve">Urgente (merece atenção no curto prazo)</t>
  </si>
  <si>
    <t xml:space="preserve">É verificado</t>
  </si>
  <si>
    <t xml:space="preserve">Muito urgente</t>
  </si>
  <si>
    <t xml:space="preserve">Necessária ação imediata</t>
  </si>
  <si>
    <t xml:space="preserve">Não irá mudar</t>
  </si>
  <si>
    <t xml:space="preserve">Irá piorar a longo prazo</t>
  </si>
  <si>
    <t xml:space="preserve">Irá piorar a médio prazo</t>
  </si>
  <si>
    <t xml:space="preserve">Irá piorar a curto prazo</t>
  </si>
  <si>
    <t xml:space="preserve">Irá piorar rapidamente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</si>
</sst>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RowHeight="12.8"/>
  <cols>
    <col collapsed="false" hidden="false" max="1" min="1" style="1" width="39.6428571428571"/>
    <col collapsed="false" hidden="false" max="3" min="2" style="1" width="11.5204081632653"/>
    <col collapsed="false" hidden="false" max="8" min="4" style="0" width="11.5204081632653"/>
    <col collapsed="false" hidden="false" max="9" min="9" style="1" width="11.5204081632653"/>
    <col collapsed="false" hidden="false" max="1025" min="10" style="0" width="11.5204081632653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2.8" hidden="false" customHeight="false" outlineLevel="0" collapsed="false">
      <c r="A3" s="1" t="s">
        <v>10</v>
      </c>
      <c r="B3" s="1" t="n">
        <v>2015</v>
      </c>
      <c r="C3" s="1" t="n">
        <v>0</v>
      </c>
      <c r="D3" s="0" t="n">
        <v>5</v>
      </c>
      <c r="E3" s="0" t="n">
        <f aca="true">IF(I3=3,0,IF(H3=1,5,IF(B3=YEAR(NOW()),4,IF(AND(YEAR(NOW())&lt;B3,I3=0),3,2))))</f>
        <v>0</v>
      </c>
      <c r="F3" s="0" t="n">
        <f aca="false">IF(I3=3,0,IF(C3=1,1,2))</f>
        <v>0</v>
      </c>
      <c r="G3" s="0" t="n">
        <f aca="false">D3*E3*F3</f>
        <v>0</v>
      </c>
      <c r="H3" s="0" t="str">
        <f aca="true">IF(I3=3,"",IF(B3&gt;=YEAR(NOW()),0,1))</f>
        <v/>
      </c>
      <c r="I3" s="1" t="n">
        <v>3</v>
      </c>
    </row>
    <row r="4" customFormat="false" ht="12.8" hidden="false" customHeight="false" outlineLevel="0" collapsed="false">
      <c r="A4" s="1" t="s">
        <v>11</v>
      </c>
      <c r="B4" s="1" t="n">
        <v>2016</v>
      </c>
      <c r="C4" s="1" t="n">
        <v>0</v>
      </c>
      <c r="D4" s="0" t="n">
        <v>5</v>
      </c>
      <c r="E4" s="0" t="n">
        <f aca="true">IF(I4=3,0,IF(H4=1,5,IF(B4=YEAR(NOW()),4,IF(AND(YEAR(NOW())&lt;B4,I4=0),3,2))))</f>
        <v>0</v>
      </c>
      <c r="F4" s="0" t="n">
        <f aca="false">IF(I4=3,0,IF(C4=1,1,2))</f>
        <v>0</v>
      </c>
      <c r="G4" s="0" t="n">
        <f aca="false">D4*E4*F4</f>
        <v>0</v>
      </c>
      <c r="H4" s="0" t="str">
        <f aca="true">IF(I4=3,"",IF(B4&gt;=YEAR(NOW()),0,1))</f>
        <v/>
      </c>
      <c r="I4" s="1" t="n">
        <v>3</v>
      </c>
    </row>
    <row r="5" customFormat="false" ht="12.8" hidden="false" customHeight="false" outlineLevel="0" collapsed="false">
      <c r="A5" s="1" t="s">
        <v>12</v>
      </c>
      <c r="B5" s="1" t="n">
        <v>2016</v>
      </c>
      <c r="C5" s="1" t="n">
        <v>0</v>
      </c>
      <c r="D5" s="0" t="n">
        <v>5</v>
      </c>
      <c r="E5" s="0" t="n">
        <f aca="true">IF(I5=3,0,IF(H5=1,5,IF(B5=YEAR(NOW()),4,IF(AND(YEAR(NOW())&lt;B5,I5=0),3,2))))</f>
        <v>4</v>
      </c>
      <c r="F5" s="0" t="n">
        <f aca="false">IF(I5=3,0,IF(C5=1,1,2))</f>
        <v>2</v>
      </c>
      <c r="G5" s="0" t="n">
        <f aca="false">D5*E5*F5</f>
        <v>40</v>
      </c>
      <c r="H5" s="0" t="n">
        <f aca="true">IF(I5=3,"",IF(B5&gt;=YEAR(NOW()),0,1))</f>
        <v>0</v>
      </c>
      <c r="I5" s="1" t="n">
        <v>1</v>
      </c>
    </row>
    <row r="6" customFormat="false" ht="12.8" hidden="false" customHeight="false" outlineLevel="0" collapsed="false">
      <c r="A6" s="1" t="s">
        <v>13</v>
      </c>
      <c r="B6" s="1" t="n">
        <v>2019</v>
      </c>
      <c r="C6" s="1" t="n">
        <v>0</v>
      </c>
      <c r="D6" s="0" t="n">
        <v>5</v>
      </c>
      <c r="E6" s="0" t="n">
        <f aca="true">IF(I6=3,0,IF(H6=1,5,IF(B6=YEAR(NOW()),4,IF(AND(YEAR(NOW())&lt;B6,I6=0),3,2))))</f>
        <v>2</v>
      </c>
      <c r="F6" s="0" t="n">
        <f aca="false">IF(I6=3,0,IF(C6=1,1,2))</f>
        <v>2</v>
      </c>
      <c r="G6" s="0" t="n">
        <f aca="false">D6*E6*F6</f>
        <v>20</v>
      </c>
      <c r="H6" s="0" t="n">
        <f aca="true">IF(I6=3,"",IF(B6&gt;=YEAR(NOW()),0,1))</f>
        <v>0</v>
      </c>
      <c r="I6" s="1" t="n">
        <v>1</v>
      </c>
    </row>
    <row r="7" customFormat="false" ht="12.8" hidden="false" customHeight="false" outlineLevel="0" collapsed="false">
      <c r="A7" s="1" t="s">
        <v>14</v>
      </c>
      <c r="B7" s="1" t="n">
        <v>2019</v>
      </c>
      <c r="C7" s="1" t="n">
        <v>0</v>
      </c>
      <c r="D7" s="0" t="n">
        <v>5</v>
      </c>
      <c r="E7" s="0" t="n">
        <f aca="true">IF(I7=3,0,IF(H7=1,5,IF(B7=YEAR(NOW()),4,IF(AND(YEAR(NOW())&lt;B7,I7=0),3,2))))</f>
        <v>3</v>
      </c>
      <c r="F7" s="0" t="n">
        <f aca="false">IF(I7=3,0,IF(C7=1,1,2))</f>
        <v>2</v>
      </c>
      <c r="G7" s="0" t="n">
        <f aca="false">D7*E7*F7</f>
        <v>30</v>
      </c>
      <c r="H7" s="0" t="n">
        <f aca="true">IF(I7=3,"",IF(B7&gt;=YEAR(NOW()),0,1))</f>
        <v>0</v>
      </c>
      <c r="I7" s="1" t="n">
        <v>0</v>
      </c>
    </row>
    <row r="8" customFormat="false" ht="12.8" hidden="false" customHeight="false" outlineLevel="0" collapsed="false">
      <c r="A8" s="1" t="s">
        <v>15</v>
      </c>
      <c r="B8" s="1" t="n">
        <v>2021</v>
      </c>
      <c r="C8" s="1" t="n">
        <v>0</v>
      </c>
      <c r="D8" s="0" t="n">
        <v>5</v>
      </c>
      <c r="E8" s="0" t="n">
        <f aca="true">IF(I8=3,0,IF(H8=1,5,IF(B8=YEAR(NOW()),4,IF(AND(YEAR(NOW())&lt;B8,I8=0),3,2))))</f>
        <v>3</v>
      </c>
      <c r="F8" s="0" t="n">
        <f aca="false">IF(I8=3,0,IF(C8=1,1,2))</f>
        <v>2</v>
      </c>
      <c r="G8" s="0" t="n">
        <f aca="false">D8*E8*F8</f>
        <v>30</v>
      </c>
      <c r="H8" s="0" t="n">
        <f aca="true">IF(I8=3,"",IF(B8&gt;=YEAR(NOW()),0,1))</f>
        <v>0</v>
      </c>
      <c r="I8" s="1" t="n">
        <v>0</v>
      </c>
    </row>
    <row r="9" customFormat="false" ht="12.8" hidden="false" customHeight="false" outlineLevel="0" collapsed="false">
      <c r="A9" s="1" t="s">
        <v>16</v>
      </c>
      <c r="B9" s="1" t="n">
        <v>2021</v>
      </c>
      <c r="C9" s="1" t="n">
        <v>0</v>
      </c>
      <c r="D9" s="0" t="n">
        <v>5</v>
      </c>
      <c r="E9" s="0" t="n">
        <f aca="true">IF(I9=3,0,IF(H9=1,5,IF(B9=YEAR(NOW()),4,IF(AND(YEAR(NOW())&lt;B9,I9=0),3,2))))</f>
        <v>3</v>
      </c>
      <c r="F9" s="0" t="n">
        <f aca="false">IF(I9=3,0,IF(C9=1,1,2))</f>
        <v>2</v>
      </c>
      <c r="G9" s="0" t="n">
        <f aca="false">D9*E9*F9</f>
        <v>30</v>
      </c>
      <c r="H9" s="0" t="n">
        <f aca="true">IF(I9=3,"",IF(B9&gt;=YEAR(NOW()),0,1))</f>
        <v>0</v>
      </c>
      <c r="I9" s="1" t="n">
        <v>0</v>
      </c>
    </row>
    <row r="10" customFormat="false" ht="12.8" hidden="false" customHeight="false" outlineLevel="0" collapsed="false">
      <c r="A10" s="1" t="s">
        <v>17</v>
      </c>
      <c r="B10" s="1" t="n">
        <v>2021</v>
      </c>
      <c r="C10" s="1" t="n">
        <v>0</v>
      </c>
      <c r="D10" s="0" t="n">
        <v>5</v>
      </c>
      <c r="E10" s="0" t="n">
        <f aca="true">IF(I10=3,0,IF(H10=1,5,IF(B10=YEAR(NOW()),4,IF(AND(YEAR(NOW())&lt;B10,I10=0),3,2))))</f>
        <v>3</v>
      </c>
      <c r="F10" s="0" t="n">
        <f aca="false">IF(I10=3,0,IF(C10=1,1,2))</f>
        <v>2</v>
      </c>
      <c r="G10" s="0" t="n">
        <f aca="false">D10*E10*F10</f>
        <v>30</v>
      </c>
      <c r="H10" s="0" t="n">
        <f aca="true">IF(I10=3,"",IF(B10&gt;=YEAR(NOW()),0,1))</f>
        <v>0</v>
      </c>
      <c r="I10" s="1" t="n">
        <v>0</v>
      </c>
    </row>
    <row r="11" customFormat="false" ht="12.8" hidden="false" customHeight="false" outlineLevel="0" collapsed="false">
      <c r="A11" s="1" t="s">
        <v>18</v>
      </c>
      <c r="B11" s="1" t="n">
        <v>2021</v>
      </c>
      <c r="C11" s="1" t="n">
        <v>0</v>
      </c>
      <c r="D11" s="0" t="n">
        <v>5</v>
      </c>
      <c r="E11" s="0" t="n">
        <f aca="true">IF(I11=3,0,IF(H11=1,5,IF(B11=YEAR(NOW()),4,IF(AND(YEAR(NOW())&lt;B11,I11=0),3,2))))</f>
        <v>3</v>
      </c>
      <c r="F11" s="0" t="n">
        <f aca="false">IF(I11=3,0,IF(C11=1,1,2))</f>
        <v>2</v>
      </c>
      <c r="G11" s="0" t="n">
        <f aca="false">D11*E11*F11</f>
        <v>30</v>
      </c>
      <c r="H11" s="0" t="n">
        <f aca="true">IF(I11=3,"",IF(B11&gt;=YEAR(NOW()),0,1))</f>
        <v>0</v>
      </c>
      <c r="I11" s="1" t="n">
        <v>0</v>
      </c>
    </row>
    <row r="12" customFormat="false" ht="12.8" hidden="false" customHeight="false" outlineLevel="0" collapsed="false">
      <c r="A12" s="1" t="s">
        <v>19</v>
      </c>
      <c r="B12" s="1" t="n">
        <v>2021</v>
      </c>
      <c r="C12" s="1" t="n">
        <v>0</v>
      </c>
      <c r="D12" s="0" t="n">
        <v>5</v>
      </c>
      <c r="E12" s="0" t="n">
        <f aca="true">IF(I12=3,0,IF(H12=1,5,IF(B12=YEAR(NOW()),4,IF(AND(YEAR(NOW())&lt;B12,I12=0),3,2))))</f>
        <v>3</v>
      </c>
      <c r="F12" s="0" t="n">
        <f aca="false">IF(I12=3,0,IF(C12=1,1,2))</f>
        <v>2</v>
      </c>
      <c r="G12" s="0" t="n">
        <f aca="false">D12*E12*F12</f>
        <v>30</v>
      </c>
      <c r="H12" s="0" t="n">
        <f aca="true">IF(I12=3,"",IF(B12&gt;=YEAR(NOW()),0,1))</f>
        <v>0</v>
      </c>
      <c r="I12" s="1" t="n">
        <v>0</v>
      </c>
    </row>
    <row r="13" customFormat="false" ht="12.8" hidden="false" customHeight="false" outlineLevel="0" collapsed="false">
      <c r="A13" s="1" t="s">
        <v>20</v>
      </c>
      <c r="B13" s="1" t="n">
        <v>2022</v>
      </c>
      <c r="C13" s="1" t="n">
        <v>0</v>
      </c>
      <c r="D13" s="0" t="n">
        <v>5</v>
      </c>
      <c r="E13" s="0" t="n">
        <f aca="true">IF(I13=3,0,IF(H13=1,5,IF(B13=YEAR(NOW()),4,IF(AND(YEAR(NOW())&lt;B13,I13=0),3,2))))</f>
        <v>3</v>
      </c>
      <c r="F13" s="0" t="n">
        <f aca="false">IF(I13=3,0,IF(C13=1,1,2))</f>
        <v>2</v>
      </c>
      <c r="G13" s="0" t="n">
        <f aca="false">D13*E13*F13</f>
        <v>30</v>
      </c>
      <c r="H13" s="0" t="n">
        <f aca="true">IF(I13=3,"",IF(B13&gt;=YEAR(NOW()),0,1))</f>
        <v>0</v>
      </c>
      <c r="I13" s="1" t="n">
        <v>0</v>
      </c>
    </row>
    <row r="14" customFormat="false" ht="12.8" hidden="false" customHeight="false" outlineLevel="0" collapsed="false">
      <c r="A14" s="1" t="s">
        <v>21</v>
      </c>
      <c r="B14" s="1" t="n">
        <v>2022</v>
      </c>
      <c r="C14" s="1" t="n">
        <v>0</v>
      </c>
      <c r="D14" s="0" t="n">
        <v>5</v>
      </c>
      <c r="E14" s="0" t="n">
        <f aca="true">IF(I14=3,0,IF(H14=1,5,IF(B14=YEAR(NOW()),4,IF(AND(YEAR(NOW())&lt;B14,I14=0),3,2))))</f>
        <v>3</v>
      </c>
      <c r="F14" s="0" t="n">
        <f aca="false">IF(I14=3,0,IF(C14=1,1,2))</f>
        <v>2</v>
      </c>
      <c r="G14" s="0" t="n">
        <f aca="false">D14*E14*F14</f>
        <v>30</v>
      </c>
      <c r="H14" s="0" t="n">
        <f aca="true">IF(I14=3,"",IF(B14&gt;=YEAR(NOW()),0,1))</f>
        <v>0</v>
      </c>
      <c r="I14" s="1" t="n">
        <v>0</v>
      </c>
    </row>
    <row r="15" customFormat="false" ht="12.8" hidden="false" customHeight="false" outlineLevel="0" collapsed="false">
      <c r="A15" s="1" t="s">
        <v>22</v>
      </c>
      <c r="B15" s="1" t="n">
        <v>2022</v>
      </c>
      <c r="C15" s="1" t="n">
        <v>0</v>
      </c>
      <c r="D15" s="0" t="n">
        <v>5</v>
      </c>
      <c r="E15" s="0" t="n">
        <f aca="true">IF(I15=3,0,IF(H15=1,5,IF(B15=YEAR(NOW()),4,IF(AND(YEAR(NOW())&lt;B15,I15=0),3,2))))</f>
        <v>3</v>
      </c>
      <c r="F15" s="0" t="n">
        <f aca="false">IF(I15=3,0,IF(C15=1,1,2))</f>
        <v>2</v>
      </c>
      <c r="G15" s="0" t="n">
        <f aca="false">D15*E15*F15</f>
        <v>30</v>
      </c>
      <c r="H15" s="0" t="n">
        <f aca="true">IF(I15=3,"",IF(B15&gt;=YEAR(NOW()),0,1))</f>
        <v>0</v>
      </c>
      <c r="I15" s="1" t="n">
        <v>0</v>
      </c>
    </row>
    <row r="16" customFormat="false" ht="12.8" hidden="false" customHeight="false" outlineLevel="0" collapsed="false">
      <c r="A16" s="1" t="s">
        <v>23</v>
      </c>
      <c r="B16" s="1" t="n">
        <v>2023</v>
      </c>
      <c r="C16" s="1" t="n">
        <v>0</v>
      </c>
      <c r="D16" s="0" t="n">
        <v>5</v>
      </c>
      <c r="E16" s="0" t="n">
        <f aca="true">IF(I16=3,0,IF(H16=1,5,IF(B16=YEAR(NOW()),4,IF(AND(YEAR(NOW())&lt;B16,I16=0),3,2))))</f>
        <v>3</v>
      </c>
      <c r="F16" s="0" t="n">
        <f aca="false">IF(I16=3,0,IF(C16=1,1,2))</f>
        <v>2</v>
      </c>
      <c r="G16" s="0" t="n">
        <f aca="false">D16*E16*F16</f>
        <v>30</v>
      </c>
      <c r="H16" s="0" t="n">
        <f aca="true">IF(I16=3,"",IF(B16&gt;=YEAR(NOW()),0,1))</f>
        <v>0</v>
      </c>
      <c r="I16" s="1" t="n">
        <v>0</v>
      </c>
    </row>
    <row r="17" customFormat="false" ht="12.8" hidden="false" customHeight="false" outlineLevel="0" collapsed="false">
      <c r="A17" s="1" t="s">
        <v>24</v>
      </c>
      <c r="B17" s="1" t="n">
        <v>2024</v>
      </c>
      <c r="C17" s="1" t="n">
        <v>0</v>
      </c>
      <c r="D17" s="0" t="n">
        <v>5</v>
      </c>
      <c r="E17" s="0" t="n">
        <f aca="true">IF(I17=3,0,IF(H17=1,5,IF(B17=YEAR(NOW()),4,IF(AND(YEAR(NOW())&lt;B17,I17=0),3,2))))</f>
        <v>3</v>
      </c>
      <c r="F17" s="0" t="n">
        <f aca="false">IF(I17=3,0,IF(C17=1,1,2))</f>
        <v>2</v>
      </c>
      <c r="G17" s="0" t="n">
        <f aca="false">D17*E17*F17</f>
        <v>30</v>
      </c>
      <c r="H17" s="0" t="n">
        <f aca="true">IF(I17=3,"",IF(B17&gt;=YEAR(NOW()),0,1))</f>
        <v>0</v>
      </c>
      <c r="I17" s="1" t="n">
        <v>0</v>
      </c>
    </row>
    <row r="18" customFormat="false" ht="12.8" hidden="false" customHeight="false" outlineLevel="0" collapsed="false">
      <c r="A18" s="1" t="s">
        <v>25</v>
      </c>
      <c r="B18" s="1" t="n">
        <v>2024</v>
      </c>
      <c r="C18" s="1" t="n">
        <v>0</v>
      </c>
      <c r="D18" s="0" t="n">
        <v>5</v>
      </c>
      <c r="E18" s="0" t="n">
        <f aca="true">IF(I18=3,0,IF(H18=1,5,IF(B18=YEAR(NOW()),4,IF(AND(YEAR(NOW())&lt;B18,I18=0),3,2))))</f>
        <v>3</v>
      </c>
      <c r="F18" s="0" t="n">
        <f aca="false">IF(I18=3,0,IF(C18=1,1,2))</f>
        <v>2</v>
      </c>
      <c r="G18" s="0" t="n">
        <f aca="false">D18*E18*F18</f>
        <v>30</v>
      </c>
      <c r="H18" s="0" t="n">
        <f aca="true">IF(I18=3,"",IF(B18&gt;=YEAR(NOW()),0,1))</f>
        <v>0</v>
      </c>
      <c r="I18" s="1" t="n">
        <v>0</v>
      </c>
    </row>
  </sheetData>
  <sheetProtection sheet="true" objects="true" scenarios="true"/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4" t="s">
        <v>26</v>
      </c>
      <c r="B1" s="4"/>
      <c r="D1" s="4" t="s">
        <v>27</v>
      </c>
      <c r="E1" s="4"/>
    </row>
    <row r="2" customFormat="false" ht="12.8" hidden="false" customHeight="false" outlineLevel="0" collapsed="false">
      <c r="A2" s="4" t="s">
        <v>4</v>
      </c>
      <c r="B2" s="4"/>
      <c r="D2" s="0" t="n">
        <v>0</v>
      </c>
      <c r="E2" s="0" t="s">
        <v>28</v>
      </c>
    </row>
    <row r="3" customFormat="false" ht="12.8" hidden="false" customHeight="false" outlineLevel="0" collapsed="false">
      <c r="A3" s="0" t="n">
        <v>1</v>
      </c>
      <c r="B3" s="0" t="s">
        <v>29</v>
      </c>
      <c r="D3" s="0" t="n">
        <v>1</v>
      </c>
      <c r="E3" s="0" t="s">
        <v>30</v>
      </c>
    </row>
    <row r="4" customFormat="false" ht="12.8" hidden="false" customHeight="false" outlineLevel="0" collapsed="false">
      <c r="A4" s="0" t="n">
        <v>2</v>
      </c>
      <c r="B4" s="0" t="s">
        <v>31</v>
      </c>
      <c r="D4" s="0" t="n">
        <v>2</v>
      </c>
      <c r="E4" s="0" t="s">
        <v>32</v>
      </c>
    </row>
    <row r="5" customFormat="false" ht="12.8" hidden="false" customHeight="false" outlineLevel="0" collapsed="false">
      <c r="A5" s="0" t="n">
        <v>3</v>
      </c>
      <c r="B5" s="0" t="s">
        <v>33</v>
      </c>
    </row>
    <row r="6" customFormat="false" ht="12.8" hidden="false" customHeight="false" outlineLevel="0" collapsed="false">
      <c r="A6" s="0" t="n">
        <v>4</v>
      </c>
      <c r="B6" s="0" t="s">
        <v>34</v>
      </c>
      <c r="D6" s="4" t="s">
        <v>35</v>
      </c>
      <c r="E6" s="4"/>
    </row>
    <row r="7" customFormat="false" ht="12.8" hidden="false" customHeight="false" outlineLevel="0" collapsed="false">
      <c r="A7" s="0" t="n">
        <v>5</v>
      </c>
      <c r="B7" s="0" t="s">
        <v>36</v>
      </c>
      <c r="D7" s="0" t="n">
        <v>0</v>
      </c>
      <c r="E7" s="0" t="s">
        <v>37</v>
      </c>
    </row>
    <row r="8" customFormat="false" ht="12.8" hidden="false" customHeight="false" outlineLevel="0" collapsed="false">
      <c r="D8" s="0" t="n">
        <v>1</v>
      </c>
      <c r="E8" s="0" t="s">
        <v>8</v>
      </c>
    </row>
    <row r="9" customFormat="false" ht="12.8" hidden="false" customHeight="false" outlineLevel="0" collapsed="false">
      <c r="A9" s="4" t="s">
        <v>5</v>
      </c>
      <c r="B9" s="4"/>
    </row>
    <row r="10" customFormat="false" ht="12.8" hidden="false" customHeight="false" outlineLevel="0" collapsed="false">
      <c r="A10" s="0" t="n">
        <v>1</v>
      </c>
      <c r="B10" s="0" t="s">
        <v>38</v>
      </c>
      <c r="D10" s="4" t="s">
        <v>39</v>
      </c>
      <c r="E10" s="4"/>
    </row>
    <row r="11" customFormat="false" ht="12.8" hidden="false" customHeight="false" outlineLevel="0" collapsed="false">
      <c r="A11" s="0" t="n">
        <v>2</v>
      </c>
      <c r="B11" s="0" t="s">
        <v>40</v>
      </c>
      <c r="D11" s="0" t="n">
        <v>0</v>
      </c>
      <c r="E11" s="0" t="s">
        <v>41</v>
      </c>
    </row>
    <row r="12" customFormat="false" ht="12.8" hidden="false" customHeight="false" outlineLevel="0" collapsed="false">
      <c r="A12" s="0" t="n">
        <v>3</v>
      </c>
      <c r="B12" s="0" t="s">
        <v>42</v>
      </c>
      <c r="D12" s="0" t="n">
        <v>1</v>
      </c>
      <c r="E12" s="0" t="s">
        <v>43</v>
      </c>
    </row>
    <row r="13" customFormat="false" ht="12.8" hidden="false" customHeight="false" outlineLevel="0" collapsed="false">
      <c r="A13" s="0" t="n">
        <v>4</v>
      </c>
      <c r="B13" s="0" t="s">
        <v>44</v>
      </c>
    </row>
    <row r="14" customFormat="false" ht="12.8" hidden="false" customHeight="false" outlineLevel="0" collapsed="false">
      <c r="A14" s="0" t="n">
        <v>5</v>
      </c>
      <c r="B14" s="0" t="s">
        <v>45</v>
      </c>
    </row>
    <row r="16" customFormat="false" ht="12.8" hidden="false" customHeight="false" outlineLevel="0" collapsed="false">
      <c r="A16" s="4" t="s">
        <v>6</v>
      </c>
      <c r="B16" s="4"/>
    </row>
    <row r="17" customFormat="false" ht="12.8" hidden="false" customHeight="false" outlineLevel="0" collapsed="false">
      <c r="A17" s="0" t="n">
        <v>1</v>
      </c>
      <c r="B17" s="0" t="s">
        <v>46</v>
      </c>
    </row>
    <row r="18" customFormat="false" ht="12.8" hidden="false" customHeight="false" outlineLevel="0" collapsed="false">
      <c r="A18" s="0" t="n">
        <v>2</v>
      </c>
      <c r="B18" s="0" t="s">
        <v>47</v>
      </c>
    </row>
    <row r="19" customFormat="false" ht="12.8" hidden="false" customHeight="false" outlineLevel="0" collapsed="false">
      <c r="A19" s="0" t="n">
        <v>3</v>
      </c>
      <c r="B19" s="0" t="s">
        <v>48</v>
      </c>
    </row>
    <row r="20" customFormat="false" ht="12.8" hidden="false" customHeight="false" outlineLevel="0" collapsed="false">
      <c r="A20" s="0" t="n">
        <v>4</v>
      </c>
      <c r="B20" s="0" t="s">
        <v>49</v>
      </c>
    </row>
    <row r="21" customFormat="false" ht="12.8" hidden="false" customHeight="false" outlineLevel="0" collapsed="false">
      <c r="A21" s="0" t="n">
        <v>5</v>
      </c>
      <c r="B21" s="0" t="s">
        <v>50</v>
      </c>
    </row>
  </sheetData>
  <sheetProtection sheet="true" objects="true" scenarios="true"/>
  <mergeCells count="7">
    <mergeCell ref="A1:B1"/>
    <mergeCell ref="D1:E1"/>
    <mergeCell ref="A2:B2"/>
    <mergeCell ref="D6:E6"/>
    <mergeCell ref="A9:B9"/>
    <mergeCell ref="D10:E10"/>
    <mergeCell ref="A16:B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2016-11-24T09:59:04Z</dcterms:created>
  <dc:creator>Everton da Rosa</dc:creator>
  <dc:description/>
  <dc:language>pt-BR</dc:language>
  <cp:lastModifiedBy>Everton da Rosa</cp:lastModifiedBy>
  <dcterms:modified xsi:type="dcterms:W3CDTF">2016-11-24T11:19:34Z</dcterms:modified>
  <cp:revision>4</cp:revision>
  <dc:subject/>
  <dc:title/>
</cp:coreProperties>
</file>