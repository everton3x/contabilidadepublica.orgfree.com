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L TCERS" sheetId="1" state="visible" r:id="rId2"/>
    <sheet name="RREO Anexo 5 - Resultado Nominal" sheetId="2" state="visible" r:id="rId3"/>
    <sheet name="RGF Anexo 2 - DCL" sheetId="3" state="visible" r:id="rId4"/>
  </sheets>
  <definedNames>
    <definedName function="false" hidden="false" localSheetId="1" name="fsdfs" vbProcedure="false"/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<sst xmlns="http://schemas.openxmlformats.org/spreadsheetml/2006/main" count="885" uniqueCount="484">
  <si>
    <t xml:space="preserve">Ano Anterior</t>
  </si>
  <si>
    <t xml:space="preserve">1º semestre</t>
  </si>
  <si>
    <t xml:space="preserve">Bimestre Anterior</t>
  </si>
  <si>
    <t xml:space="preserve">Bimestre Atual</t>
  </si>
  <si>
    <t xml:space="preserve">Discriminação</t>
  </si>
  <si>
    <t xml:space="preserve">Codificação</t>
  </si>
  <si>
    <t xml:space="preserve">Mapeamento</t>
  </si>
  <si>
    <t xml:space="preserve">Valores</t>
  </si>
  <si>
    <t xml:space="preserve">(1) DÍVIDA CONSOLIDADA OU FUNDADA</t>
  </si>
  <si>
    <t xml:space="preserve">RGF</t>
  </si>
  <si>
    <t xml:space="preserve">Precatórios de Pessoal – Regime Especial – a partir de 05/05/2000 – Vencidos e não pagos</t>
  </si>
  <si>
    <t xml:space="preserve">2.1.1.1.1.04.02.00.00.00</t>
  </si>
  <si>
    <t xml:space="preserve">precatorios</t>
  </si>
  <si>
    <t xml:space="preserve">Precatórios de Pessoal – Regime Ordinário – a partir de 05/05/2000 – Vencidos e não pagos</t>
  </si>
  <si>
    <t xml:space="preserve">2.1.1.1.1.05.02.00.00.00</t>
  </si>
  <si>
    <t xml:space="preserve">Precatórios de Benefícios Previdenciários – Regime Especial – a partir de 05/05/2000 – Vencidos e não pagos</t>
  </si>
  <si>
    <t xml:space="preserve">2.1.1.2.1.04.02.00.00.00</t>
  </si>
  <si>
    <t xml:space="preserve">Precatórios de Benefícios Previdenciários – Regime Ordinário – a partir de 05/05/2000 – Vencidos e não pagos</t>
  </si>
  <si>
    <t xml:space="preserve">2.1.1.2.1.05.02.00.00.00</t>
  </si>
  <si>
    <t xml:space="preserve">Precatórios de Benefícios Assistenciais – Regime Especial – a partir de 05/05/2000 – Vencidos e não pagos</t>
  </si>
  <si>
    <t xml:space="preserve">2.1.1.3.1.03.02.00.00.00</t>
  </si>
  <si>
    <t xml:space="preserve">Precatórios de Benefícios Assistenciais – Regime Ordinário – a partir de 05/05/2000 – Vencidos e não pagos</t>
  </si>
  <si>
    <t xml:space="preserve">2.1.1.3.1.04.02.00.00.00</t>
  </si>
  <si>
    <t xml:space="preserve">Contribuições ao RGPS – Débito Parcelado</t>
  </si>
  <si>
    <t xml:space="preserve">2.1.1.4.1.01.02.00.00.00</t>
  </si>
  <si>
    <t xml:space="preserve">parcelamento-previdenciario</t>
  </si>
  <si>
    <t xml:space="preserve">2.1.1.4.3.01.02.00.00.00</t>
  </si>
  <si>
    <t xml:space="preserve">Contribuições Previdenciárias – Débito Parcelado</t>
  </si>
  <si>
    <t xml:space="preserve">2.1.1.4.1.06.00.00.00.00</t>
  </si>
  <si>
    <t xml:space="preserve">2.1.1.4.3.06.00.00.00.00</t>
  </si>
  <si>
    <t xml:space="preserve">2.1.1.4.4.06.00.00.00.00</t>
  </si>
  <si>
    <t xml:space="preserve">2.1.1.4.5.06.00.00.00.00</t>
  </si>
  <si>
    <t xml:space="preserve">Contribuições Sociais – Débito Parcelado</t>
  </si>
  <si>
    <t xml:space="preserve">2.1.1.4.1.07.00.00.00.00</t>
  </si>
  <si>
    <t xml:space="preserve">parcelamento-contribuicao-social</t>
  </si>
  <si>
    <t xml:space="preserve">2.1.1.4.3.07.00.00.00.00</t>
  </si>
  <si>
    <t xml:space="preserve">Empréstimos Internos – Em títulos</t>
  </si>
  <si>
    <t xml:space="preserve">2.1.2.1.1.01.00.00.00.00</t>
  </si>
  <si>
    <t xml:space="preserve">mobiliaria</t>
  </si>
  <si>
    <t xml:space="preserve">2.1.2.1.3.01.00.00.00.00</t>
  </si>
  <si>
    <t xml:space="preserve">2.1.2.1.4.01.00.00.00.00</t>
  </si>
  <si>
    <t xml:space="preserve">2.1.2.1.5.01.00.00.00.00</t>
  </si>
  <si>
    <t xml:space="preserve">Contratos de Empréstimos Internos</t>
  </si>
  <si>
    <t xml:space="preserve">2.1.2.1.1.02.01.00.00.00</t>
  </si>
  <si>
    <t xml:space="preserve">contratual-emprestimo-interno</t>
  </si>
  <si>
    <t xml:space="preserve">2.1.2.1.3.02.01.00.00.00</t>
  </si>
  <si>
    <t xml:space="preserve">2.1.2.1.4.02.01.00.00.00</t>
  </si>
  <si>
    <t xml:space="preserve">2.1.2.1.5.02.01.00.00.00</t>
  </si>
  <si>
    <t xml:space="preserve">Outros Contratos – Empréstimos Internos</t>
  </si>
  <si>
    <t xml:space="preserve">2.1.2.1.1.02.98.00.00.00</t>
  </si>
  <si>
    <t xml:space="preserve">2.1.2.1.3.02.98.00.00.00</t>
  </si>
  <si>
    <t xml:space="preserve">2.1.2.1.4.02.98.00.00.00</t>
  </si>
  <si>
    <t xml:space="preserve">2.1.2.1.5.02.98.00.00.00</t>
  </si>
  <si>
    <t xml:space="preserve">Outros Empréstimos a Curto Prazo – Interno</t>
  </si>
  <si>
    <t xml:space="preserve">2.1.2.1.1.03.00.00.00.00</t>
  </si>
  <si>
    <t xml:space="preserve">2.1.2.1.4.03.00.00.00.00</t>
  </si>
  <si>
    <t xml:space="preserve">2.1.2.1.5.03.00.00.00.00</t>
  </si>
  <si>
    <t xml:space="preserve">Empréstimos do RPPS a Pagar</t>
  </si>
  <si>
    <t xml:space="preserve">2.1.2.1.2.02.01.00.00.00</t>
  </si>
  <si>
    <t xml:space="preserve">contratual-demais</t>
  </si>
  <si>
    <t xml:space="preserve">Programa de Apoio à Reestruturação e ao Ajuste Fiscal dos Estados</t>
  </si>
  <si>
    <t xml:space="preserve">2.1.2.1.3.04.00.00.00.00</t>
  </si>
  <si>
    <t xml:space="preserve">reestruturacao</t>
  </si>
  <si>
    <t xml:space="preserve">Programa de Apoio à Reestruturação e ao Ajuste Fiscal dos Município</t>
  </si>
  <si>
    <t xml:space="preserve">2.1.2.1.3.05.00.00.00.00</t>
  </si>
  <si>
    <t xml:space="preserve">2.1.2.1.3.99.00.00.00.00</t>
  </si>
  <si>
    <t xml:space="preserve">contratual-financiamento-interno</t>
  </si>
  <si>
    <t xml:space="preserve">Empréstimos a Curto Prazo – Externo Consolidação</t>
  </si>
  <si>
    <t xml:space="preserve">2.1.2.2.1.00.00.00.00.00</t>
  </si>
  <si>
    <t xml:space="preserve">contratual-financiamento-externo</t>
  </si>
  <si>
    <t xml:space="preserve">Financiamentos a Curto Prazo – Interno</t>
  </si>
  <si>
    <t xml:space="preserve">2.1.2.3.1.00.00.00.00.00</t>
  </si>
  <si>
    <t xml:space="preserve">2.1.2.3.3.00.00.00.00.00</t>
  </si>
  <si>
    <t xml:space="preserve">2.1.2.3.4.00.00.00.00.00</t>
  </si>
  <si>
    <t xml:space="preserve">2.1.2.3.5.00.00.00.00.00</t>
  </si>
  <si>
    <t xml:space="preserve">Financiamentos a Curto Prazo – Externo – Consolidação</t>
  </si>
  <si>
    <t xml:space="preserve">2.1.2.4.1.00.00.00.00.00</t>
  </si>
  <si>
    <t xml:space="preserve">Juros de Contratos – Empréstimos Interno</t>
  </si>
  <si>
    <t xml:space="preserve">2.1.2.5.1.01.00.00.00.00</t>
  </si>
  <si>
    <t xml:space="preserve">Encargos – Empréstimos Interno</t>
  </si>
  <si>
    <t xml:space="preserve">2.1.2.5.1.02.00.00.00.00</t>
  </si>
  <si>
    <t xml:space="preserve">Juros de Contratos – Financiamentos Interno</t>
  </si>
  <si>
    <t xml:space="preserve">2.1.2.5.1.03.00.00.00.00</t>
  </si>
  <si>
    <t xml:space="preserve">Encargos – Financiamentos Interno</t>
  </si>
  <si>
    <t xml:space="preserve">2.1.2.5.1.04.00.00.00.00</t>
  </si>
  <si>
    <t xml:space="preserve">2.1.2.5.3.01.00.00.00.00</t>
  </si>
  <si>
    <t xml:space="preserve">2.1.2.5.3.02.00.00.00.00</t>
  </si>
  <si>
    <t xml:space="preserve">2.1.2.5.3.03.00.00.00.00</t>
  </si>
  <si>
    <t xml:space="preserve">2.1.2.5.3.04.00.00.00.00</t>
  </si>
  <si>
    <t xml:space="preserve">2.1.2.5.4.01.00.00.00.00</t>
  </si>
  <si>
    <t xml:space="preserve">2.1.2.5.4.02.00.00.00.00</t>
  </si>
  <si>
    <t xml:space="preserve">2.1.2.5.4.03.00.00.00.00</t>
  </si>
  <si>
    <t xml:space="preserve">2.1.2.5.4.04.00.00.00.00</t>
  </si>
  <si>
    <t xml:space="preserve">2.1.2.5.5.01.00.00.00.00</t>
  </si>
  <si>
    <t xml:space="preserve">2.1.2.5.5.02.00.00.00.00</t>
  </si>
  <si>
    <t xml:space="preserve">2.1.2.5.5.03.00.00.00.00</t>
  </si>
  <si>
    <t xml:space="preserve">2.1.2.5.5.04.00.00.00.00</t>
  </si>
  <si>
    <t xml:space="preserve">Juros de Contratos – Empréstimos Externo</t>
  </si>
  <si>
    <t xml:space="preserve">2.1.2.6.1.01.00.00.00.00</t>
  </si>
  <si>
    <t xml:space="preserve">contratual-emprestimo-externo</t>
  </si>
  <si>
    <t xml:space="preserve">Encargos – Empréstimos Externo</t>
  </si>
  <si>
    <t xml:space="preserve">2.1.2.6.1.02.00.00.00.00</t>
  </si>
  <si>
    <t xml:space="preserve">Juros de Contratos – Financiamentos Externo</t>
  </si>
  <si>
    <t xml:space="preserve">2.1.2.6.1.03.00.00.00.00</t>
  </si>
  <si>
    <t xml:space="preserve">Encargos – Financiamentos Externo</t>
  </si>
  <si>
    <t xml:space="preserve">2.1.2.6.1.04.00.00.00.00</t>
  </si>
  <si>
    <t xml:space="preserve">(-) Encargos Financeiros a Apropriar – Empréstimo Interno</t>
  </si>
  <si>
    <t xml:space="preserve">2.1.2.8.1.01.00.00.00.00</t>
  </si>
  <si>
    <t xml:space="preserve">(-) Encargos Financeiros a Apropriar – Financiamento Interno</t>
  </si>
  <si>
    <t xml:space="preserve">2.1.2.8.1.02.00.00.00.00</t>
  </si>
  <si>
    <t xml:space="preserve">2.1.2.8.3.01.00.00.00.00</t>
  </si>
  <si>
    <t xml:space="preserve">2.1.2.8.3.02.00.00.00.00</t>
  </si>
  <si>
    <t xml:space="preserve">2.1.2.8.4.01.00.00.00.00</t>
  </si>
  <si>
    <t xml:space="preserve">2.1.2.8.4.02.00.00.00.00</t>
  </si>
  <si>
    <t xml:space="preserve">(-) Encargos Financeiros a Apropriar – Consolidação – Interno – Empréstimo</t>
  </si>
  <si>
    <t xml:space="preserve">2.1.2.9.1.01.00.00.00.00</t>
  </si>
  <si>
    <t xml:space="preserve">(-) Encargos Financeiros a Apropriar – Consolidação – Interno – Financiamento</t>
  </si>
  <si>
    <t xml:space="preserve">2.1.2.9.1.02.00.00.00.00</t>
  </si>
  <si>
    <t xml:space="preserve">Fornecedores Financiados a Pagar</t>
  </si>
  <si>
    <t xml:space="preserve">2.1.3.1.1.01.02.00.00.00</t>
  </si>
  <si>
    <t xml:space="preserve">outras-dividas</t>
  </si>
  <si>
    <t xml:space="preserve">Parcelamento de Fornecedores a Pagar</t>
  </si>
  <si>
    <t xml:space="preserve">2.1.3.1.1.01.03.00.00.00</t>
  </si>
  <si>
    <t xml:space="preserve">Contas Financiadas a Pagar</t>
  </si>
  <si>
    <t xml:space="preserve">2.1.3.1.1.03.02.00.00.00</t>
  </si>
  <si>
    <t xml:space="preserve">Parcelamento de Contas a Pagar</t>
  </si>
  <si>
    <t xml:space="preserve">2.1.3.1.1.03.03.00.00.00</t>
  </si>
  <si>
    <t xml:space="preserve">Precatórios de Fornecedores Nacionais – Regime Especial – a partir de 05/05/2000 – Vencidos e não pagos</t>
  </si>
  <si>
    <t xml:space="preserve">2.1.3.1.1.05.02.00.00.00</t>
  </si>
  <si>
    <t xml:space="preserve">Precatórios de Fornecedores Nacionais – Regime Ordinário – a partir de 05/05/2000 – Vencidos e não pagos</t>
  </si>
  <si>
    <t xml:space="preserve">2.1.3.1.1.06.02.00.00.00</t>
  </si>
  <si>
    <t xml:space="preserve">Precatórios de Contas a Pagar – Regime Especial – a partir de 05/05/2000 – Vencidos e não pagos</t>
  </si>
  <si>
    <t xml:space="preserve">2.1.3.1.1.07.02.00.00.00</t>
  </si>
  <si>
    <t xml:space="preserve">Precatórios de Contas a Pagar – Regime Ordinário – a partir de 05/05/2000 – Vencidos e não pagos</t>
  </si>
  <si>
    <t xml:space="preserve">2.1.3.1.1.08.02.00.00.00</t>
  </si>
  <si>
    <t xml:space="preserve">2.1.3.2.1.01.02.00.00.00</t>
  </si>
  <si>
    <t xml:space="preserve">2.1.3.2.1.01.03.00.00.00</t>
  </si>
  <si>
    <t xml:space="preserve">2.1.3.2.1.02.02.00.00.00</t>
  </si>
  <si>
    <t xml:space="preserve">2.1.3.2.1.02.03.00.00.00</t>
  </si>
  <si>
    <t xml:space="preserve">Tributos Federais Renegociados</t>
  </si>
  <si>
    <t xml:space="preserve">2.1.4.1.1.12.00.00.00.00</t>
  </si>
  <si>
    <t xml:space="preserve">parcelamento-tributos</t>
  </si>
  <si>
    <t xml:space="preserve">2.1.4.1.2.12.00.00.00.00</t>
  </si>
  <si>
    <t xml:space="preserve">2.1.4.1.3.12.00.00.00.00</t>
  </si>
  <si>
    <t xml:space="preserve">Tributos Estaduais Renegociados</t>
  </si>
  <si>
    <t xml:space="preserve">2.1.4.2.1.03.00.00.00.00</t>
  </si>
  <si>
    <t xml:space="preserve">2.1.4.2.2.03.00.00.00.00</t>
  </si>
  <si>
    <t xml:space="preserve">2.1.4.2.4.03.00.00.00.00</t>
  </si>
  <si>
    <t xml:space="preserve">Tributos Municipais Renegociados</t>
  </si>
  <si>
    <t xml:space="preserve">2.1.4.3.1.03.00.00.00.00</t>
  </si>
  <si>
    <t xml:space="preserve">2.1.4.3.2.03.00.00.00.00</t>
  </si>
  <si>
    <t xml:space="preserve">2.1.4.3.5.03.00.00.00.00</t>
  </si>
  <si>
    <t xml:space="preserve">Adiantamentos de Clientes – Consolidação</t>
  </si>
  <si>
    <t xml:space="preserve">2.1.8.1.1.00.00.00.00.00</t>
  </si>
  <si>
    <t xml:space="preserve">Debêntures e Outros Títulos de Dívida a Curto Prazo – Consolidação</t>
  </si>
  <si>
    <t xml:space="preserve">2.1.8.4.1.00.00.00.00.00</t>
  </si>
  <si>
    <t xml:space="preserve">2.2.1.1.1.03.02.00.00.00</t>
  </si>
  <si>
    <t xml:space="preserve">2.2.1.1.1.04.02.00.00.00</t>
  </si>
  <si>
    <t xml:space="preserve">2.2.1.2.1.02.02.00.00.00</t>
  </si>
  <si>
    <t xml:space="preserve">2.2.1.2.1.03.02.00.00.00</t>
  </si>
  <si>
    <t xml:space="preserve">2.2.1.3.1.02.02.00.00.00</t>
  </si>
  <si>
    <t xml:space="preserve">2.2.1.3.1.03.02.00.00.00</t>
  </si>
  <si>
    <t xml:space="preserve">2.2.1.4.1.01.00.00.00.00</t>
  </si>
  <si>
    <t xml:space="preserve">2.2.1.4.1.02.00.00.00.00</t>
  </si>
  <si>
    <t xml:space="preserve">2.2.1.4.3.02.00.00.00.00</t>
  </si>
  <si>
    <t xml:space="preserve">FGTS – Débito Parcelado</t>
  </si>
  <si>
    <t xml:space="preserve">2.2.1.4.1.03.00.00.00.00</t>
  </si>
  <si>
    <t xml:space="preserve">parcelamento-fgts</t>
  </si>
  <si>
    <t xml:space="preserve">INSS – Débito Parcelado</t>
  </si>
  <si>
    <t xml:space="preserve">2.2.1.4.3.01.01.00.00.00</t>
  </si>
  <si>
    <t xml:space="preserve">Empréstimos a Longo Prazo – Interno – Consolidação</t>
  </si>
  <si>
    <t xml:space="preserve">2.2.2.1.1.00.00.00.00.00</t>
  </si>
  <si>
    <t xml:space="preserve">2.2.2.1.4.00.00.00.00.00</t>
  </si>
  <si>
    <t xml:space="preserve">2.2.2.1.5.00.00.00.00.00</t>
  </si>
  <si>
    <t xml:space="preserve">2.2.2.1.2.02.01.00.00.00</t>
  </si>
  <si>
    <t xml:space="preserve">2.2.2.1.3.01.00.00.00.00</t>
  </si>
  <si>
    <t xml:space="preserve">Empréstimos Internos – Em contratos</t>
  </si>
  <si>
    <t xml:space="preserve">2.2.2.1.3.02.00.00.00.00</t>
  </si>
  <si>
    <t xml:space="preserve">2.2.2.1.3.04.00.00.00.00</t>
  </si>
  <si>
    <t xml:space="preserve">2.2.2.1.3.05.00.00.00.00</t>
  </si>
  <si>
    <t xml:space="preserve">Empréstimos a Longo Prazo – Externo Consolidação</t>
  </si>
  <si>
    <t xml:space="preserve">2.2.2.2.1.00.00.00.00.00</t>
  </si>
  <si>
    <t xml:space="preserve">Financiamentos a Longo Prazo – Interno</t>
  </si>
  <si>
    <t xml:space="preserve">2.2.2.3.1.00.00.00.00.00</t>
  </si>
  <si>
    <t xml:space="preserve">2.2.2.3.3.00.00.00.00.00</t>
  </si>
  <si>
    <t xml:space="preserve">2.2.2.3.4.00.00.00.00.00</t>
  </si>
  <si>
    <t xml:space="preserve">2.2.2.3.5.00.00.00.00.00</t>
  </si>
  <si>
    <t xml:space="preserve">Financiamento a Longo Prazo – Externo – Consolidação</t>
  </si>
  <si>
    <t xml:space="preserve">2.2.2.4.1.00.00.00.00.00</t>
  </si>
  <si>
    <t xml:space="preserve">2.2.2.5.1.01.00.00.00.00</t>
  </si>
  <si>
    <t xml:space="preserve">2.2.2.5.1.02.00.00.00.00</t>
  </si>
  <si>
    <t xml:space="preserve">2.2.2.5.1.03.00.00.00.00</t>
  </si>
  <si>
    <t xml:space="preserve">2.2.2.5.1.04.00.00.00.00</t>
  </si>
  <si>
    <t xml:space="preserve">2.2.2.5.3.01.00.00.00.00</t>
  </si>
  <si>
    <t xml:space="preserve">2.2.2.5.3.02.00.00.00.00</t>
  </si>
  <si>
    <t xml:space="preserve">2.2.2.5.3.03.00.00.00.00</t>
  </si>
  <si>
    <t xml:space="preserve">2.2.2.5.3.04.00.00.00.00</t>
  </si>
  <si>
    <t xml:space="preserve">2.2.2.5.4.01.00.00.00.00</t>
  </si>
  <si>
    <t xml:space="preserve">2.2.2.5.4.02.00.00.00.00</t>
  </si>
  <si>
    <t xml:space="preserve">2.2.2.5.4.03.00.00.00.00</t>
  </si>
  <si>
    <t xml:space="preserve">2.2.2.5.4.04.00.00.00.00</t>
  </si>
  <si>
    <t xml:space="preserve">2.2.2.5.5.01.00.00.00.00</t>
  </si>
  <si>
    <t xml:space="preserve">2.2.2.5.5.02.00.00.00.00</t>
  </si>
  <si>
    <t xml:space="preserve">2.2.2.5.5.03.00.00.00.00</t>
  </si>
  <si>
    <t xml:space="preserve">2.2.2.5.5.04.00.00.00.00</t>
  </si>
  <si>
    <t xml:space="preserve">2.2.2.6.1.01.00.00.00.00</t>
  </si>
  <si>
    <t xml:space="preserve">2.2.2.6.1.02.00.00.00.00</t>
  </si>
  <si>
    <t xml:space="preserve">2.2.2.6.1.03.00.00.00.00</t>
  </si>
  <si>
    <t xml:space="preserve">2.2.2.6.1.04.00.00.00.00</t>
  </si>
  <si>
    <t xml:space="preserve">(-) Encargos Financeiros a Apropriar – Interno Empréstimo</t>
  </si>
  <si>
    <t xml:space="preserve">2.2.2.8.1.01.00.00.00.00</t>
  </si>
  <si>
    <t xml:space="preserve">(-) Encargos Financeiros a Apropriar – Interno Financiamento</t>
  </si>
  <si>
    <t xml:space="preserve">2.2.2.8.1.02.00.00.00.00</t>
  </si>
  <si>
    <t xml:space="preserve">2.2.2.8.3.01.00.00.00.00</t>
  </si>
  <si>
    <t xml:space="preserve">2.2.2.8.3.02.00.00.00.00</t>
  </si>
  <si>
    <t xml:space="preserve">2.2.2.8.4.01.00.00.00.00</t>
  </si>
  <si>
    <t xml:space="preserve">2.2.2.8.4.02.00.00.00.00</t>
  </si>
  <si>
    <t xml:space="preserve">2.2.2.8.5.01.00.00.00.00</t>
  </si>
  <si>
    <t xml:space="preserve">2.2.2.8.5.02.00.00.00.00</t>
  </si>
  <si>
    <t xml:space="preserve">(-) Encargos Prefixados de Empréstimos Externos</t>
  </si>
  <si>
    <t xml:space="preserve">2.2.2.9.1.01.00.00.00.00</t>
  </si>
  <si>
    <t xml:space="preserve">2.2.3.1.1.01.02.00.00.00</t>
  </si>
  <si>
    <t xml:space="preserve">2.2.3.1.1.01.03.00.00.00</t>
  </si>
  <si>
    <t xml:space="preserve">2.2.3.1.1.04.02.00.00.00</t>
  </si>
  <si>
    <t xml:space="preserve">2.2.3.1.1.05.02.00.00.00</t>
  </si>
  <si>
    <t xml:space="preserve">2.2.3.1.1.06.02.00.00.00</t>
  </si>
  <si>
    <t xml:space="preserve">2.2.3.1.1.07.02.00.00.00</t>
  </si>
  <si>
    <t xml:space="preserve">2.2.3.2.1.01.02.00.00.00</t>
  </si>
  <si>
    <t xml:space="preserve">2.2.3.2.1.01.03.00.00.00</t>
  </si>
  <si>
    <t xml:space="preserve">2.2.4.1.1.02.00.00.00.00</t>
  </si>
  <si>
    <t xml:space="preserve">2.2.4.1.2.02.00.00.00.00</t>
  </si>
  <si>
    <t xml:space="preserve">2.2.4.1.3.02.00.00.00.00</t>
  </si>
  <si>
    <t xml:space="preserve">2.2.4.2.1.01.00.00.00.00</t>
  </si>
  <si>
    <t xml:space="preserve">2.2.4.2.2.01.00.00.00.00</t>
  </si>
  <si>
    <t xml:space="preserve">2.2.4.2.4.01.00.00.00.00</t>
  </si>
  <si>
    <t xml:space="preserve">2.2.4.3.1.01.00.00.00.00</t>
  </si>
  <si>
    <t xml:space="preserve">2.2.4.3.2.01.00.00.00.00</t>
  </si>
  <si>
    <t xml:space="preserve">2.2.4.3.5.01.00.00.00.00</t>
  </si>
  <si>
    <t xml:space="preserve">Debêntures e Outros Títulos de Dívida a Longo Prazo – Consolidação</t>
  </si>
  <si>
    <t xml:space="preserve">2.2.8.3.1.00.00.00.00.00</t>
  </si>
  <si>
    <t xml:space="preserve">Operação de Crédito Contratada pelo Consórcio Público</t>
  </si>
  <si>
    <t xml:space="preserve">8.5.3.6.0.00.00.00.00.00</t>
  </si>
  <si>
    <t xml:space="preserve">(2) DEDUÇÕES</t>
  </si>
  <si>
    <t xml:space="preserve">(3) DISPONIBILIDADE DE CAIXA BRUTA</t>
  </si>
  <si>
    <t xml:space="preserve">Conta Única</t>
  </si>
  <si>
    <t xml:space="preserve">1.1.1.1.1.02.00.00.00.00</t>
  </si>
  <si>
    <t xml:space="preserve">caixa</t>
  </si>
  <si>
    <t xml:space="preserve">Bancos Conta Movimento – Demais Contas</t>
  </si>
  <si>
    <t xml:space="preserve">1.1.1.1.1.19.00.00.00.00</t>
  </si>
  <si>
    <t xml:space="preserve">Rede Bancária – Arrecadação</t>
  </si>
  <si>
    <t xml:space="preserve">1.1.1.1.1.30.00.00.00.00</t>
  </si>
  <si>
    <t xml:space="preserve">Aplicações Financeiras de Liquidez Imediata</t>
  </si>
  <si>
    <t xml:space="preserve">1.1.1.1.1.50.00.00.00.00</t>
  </si>
  <si>
    <t xml:space="preserve">Caixa e Equivalente de Caixa em Moeda Estrangeira – Consolidação</t>
  </si>
  <si>
    <t xml:space="preserve">1.1.1.2.1.00.00.00.00.00</t>
  </si>
  <si>
    <t xml:space="preserve">(4) RESTOS A PAGAR PROCESSADOS</t>
  </si>
  <si>
    <t xml:space="preserve">Restos a Pagar Processados</t>
  </si>
  <si>
    <t xml:space="preserve">6.3.2.1.0.00.00.00.00.00</t>
  </si>
  <si>
    <t xml:space="preserve">processados</t>
  </si>
  <si>
    <t xml:space="preserve">(5) DEMAIS HAVERES FINANCEIROS</t>
  </si>
  <si>
    <t xml:space="preserve">Empréstimos Concedidos</t>
  </si>
  <si>
    <t xml:space="preserve">1.1.2.4.1.01.00.00.00.00</t>
  </si>
  <si>
    <t xml:space="preserve">haveres</t>
  </si>
  <si>
    <t xml:space="preserve">1.1.2.4.3.01.00.00.00.00</t>
  </si>
  <si>
    <t xml:space="preserve">1.1.2.4.4.01.00.00.00.00</t>
  </si>
  <si>
    <t xml:space="preserve">1.1.2.4.5.01.00.00.00.00</t>
  </si>
  <si>
    <t xml:space="preserve">Financiamentos Concedidos</t>
  </si>
  <si>
    <t xml:space="preserve">1.1.2.4.1.02.00.00.00.00</t>
  </si>
  <si>
    <t xml:space="preserve">1.1.2.4.3.02.00.00.00.00</t>
  </si>
  <si>
    <t xml:space="preserve">1.1.2.4.4.02.00.00.00.00</t>
  </si>
  <si>
    <t xml:space="preserve">1.1.2.4.5.02.00.00.00.00</t>
  </si>
  <si>
    <t xml:space="preserve">Juros e Encargos sobre Empréstimos e Financiamentos Concedidos a Receber</t>
  </si>
  <si>
    <t xml:space="preserve">1.1.2.4.1.03.00.00.00.00</t>
  </si>
  <si>
    <t xml:space="preserve">1.1.2.4.3.03.00.00.00.00</t>
  </si>
  <si>
    <t xml:space="preserve">1.1.2.4.4.03.00.00.00.00</t>
  </si>
  <si>
    <t xml:space="preserve">1.1.2.4.5.03.00.00.00.00</t>
  </si>
  <si>
    <t xml:space="preserve">(-) Perdas Estimadas em Créditos de Empréstimos e Financiamentos Concedidos</t>
  </si>
  <si>
    <t xml:space="preserve">1.1.2.9.1.03.00.00.00.00</t>
  </si>
  <si>
    <t xml:space="preserve">1.1.2.9.2.03.00.00.00.00</t>
  </si>
  <si>
    <t xml:space="preserve">1.1.2.9.3.03.00.00.00.00</t>
  </si>
  <si>
    <t xml:space="preserve">1.1.2.9.4.03.00.00.00.00</t>
  </si>
  <si>
    <t xml:space="preserve">1.1.2.9.5.03.00.00.00.00</t>
  </si>
  <si>
    <t xml:space="preserve">Títulos Públicos</t>
  </si>
  <si>
    <t xml:space="preserve">1.1.4.1.1.01.00.00.00.00</t>
  </si>
  <si>
    <t xml:space="preserve">Ações</t>
  </si>
  <si>
    <t xml:space="preserve">1.1.4.1.1.02.00.00.00.00</t>
  </si>
  <si>
    <t xml:space="preserve">Derivativos</t>
  </si>
  <si>
    <t xml:space="preserve">1.1.4.1.1.03.00.00.00.00</t>
  </si>
  <si>
    <t xml:space="preserve">Fundo de Aplicações em Cotas – Renda Variável</t>
  </si>
  <si>
    <t xml:space="preserve">1.1.4.1.1.15.00.00.00.00</t>
  </si>
  <si>
    <t xml:space="preserve">Outros Títulos e Valores Mobiliários</t>
  </si>
  <si>
    <t xml:space="preserve">1.1.4.1.1.99.00.00.00.00</t>
  </si>
  <si>
    <t xml:space="preserve">Aplicação Temporária em Metais Preciosos – Consolidação</t>
  </si>
  <si>
    <t xml:space="preserve">1.1.4.2.1.00.00.00.00.00</t>
  </si>
  <si>
    <t xml:space="preserve">Aplicações em Segmento de Imóveis – Consolidação</t>
  </si>
  <si>
    <t xml:space="preserve">1.1.4.3.1.00.00.00.00.00</t>
  </si>
  <si>
    <t xml:space="preserve">(-) Ajuste de Perdas de Investimentos e Aplicações Temporárias – Consolidação</t>
  </si>
  <si>
    <t xml:space="preserve">1.1.4.9.1.00.00.00.00.00</t>
  </si>
  <si>
    <t xml:space="preserve">Empréstimos Concedidos a Receber</t>
  </si>
  <si>
    <t xml:space="preserve">1.2.1.1.1.03.01.00.00.00</t>
  </si>
  <si>
    <t xml:space="preserve">Financiamentos Concedidos a Receber</t>
  </si>
  <si>
    <t xml:space="preserve">1.2.1.1.1.03.02.00.00.00</t>
  </si>
  <si>
    <t xml:space="preserve">(-) Ajuste de Perdas de Empréstimos e Financiamentos Concedidos</t>
  </si>
  <si>
    <t xml:space="preserve">1.2.1.1.1.99.03.00.00.00</t>
  </si>
  <si>
    <t xml:space="preserve">Empréstimos e Financiamentos Concedidos</t>
  </si>
  <si>
    <t xml:space="preserve">1.2.1.1.3.03.00.00.00.00</t>
  </si>
  <si>
    <t xml:space="preserve">(-) Ajuste de Perdas de Créditos a Longo Prazo</t>
  </si>
  <si>
    <t xml:space="preserve">1.2.1.1.3.99.00.00.00.00</t>
  </si>
  <si>
    <t xml:space="preserve">1.2.1.1.4.99.00.00.00.00</t>
  </si>
  <si>
    <t xml:space="preserve">1.2.1.1.5.99.00.00.00.00</t>
  </si>
  <si>
    <t xml:space="preserve">1.2.1.1.4.03.01.00.00.00</t>
  </si>
  <si>
    <t xml:space="preserve">1.2.1.1.5.03.01.00.00.00</t>
  </si>
  <si>
    <t xml:space="preserve">Juros e Encargos sobre Empréstimos Concedidos a Receber</t>
  </si>
  <si>
    <t xml:space="preserve">1.2.1.1.4.03.02.00.00.00</t>
  </si>
  <si>
    <t xml:space="preserve">1.2.1.1.5.03.02.00.00.00</t>
  </si>
  <si>
    <t xml:space="preserve">1.2.1.1.4.03.03.00.00.00</t>
  </si>
  <si>
    <t xml:space="preserve">1.2.1.1.5.03.03.00.00.00</t>
  </si>
  <si>
    <t xml:space="preserve">Juros e Encargos sobre Financiamentos Concedidos a Receber</t>
  </si>
  <si>
    <t xml:space="preserve">1.2.1.1.4.03.04.00.00.00</t>
  </si>
  <si>
    <t xml:space="preserve">1.2.1.1.5.03.04.00.00.00</t>
  </si>
  <si>
    <t xml:space="preserve">Investimentos e Aplicações Temporárias a Longo Prazo – Consolidação</t>
  </si>
  <si>
    <t xml:space="preserve">1.2.1.3.1.00.00.00.00.00</t>
  </si>
  <si>
    <t xml:space="preserve">(6) DÍVIDA CONSOLIDADA LÍQUIDA</t>
  </si>
  <si>
    <t xml:space="preserve">(7) OUTRAS OBRIGAÇÕES NÃO INTEGRANTES DA DÍVIDA CONSOLIDADA LÍQUIDA</t>
  </si>
  <si>
    <t xml:space="preserve">Precatórios de Pessoal – Regime Especial – antes de 05/05/2000</t>
  </si>
  <si>
    <t xml:space="preserve">2.1.1.1.1.04.01.00.00.00</t>
  </si>
  <si>
    <t xml:space="preserve">precatorios-antes</t>
  </si>
  <si>
    <t xml:space="preserve">Precatórios de Pessoal – Regime Especial – a partir de 05/05/2000 – Não Vencidos</t>
  </si>
  <si>
    <t xml:space="preserve">2.1.1.1.1.04.03.00.00.00</t>
  </si>
  <si>
    <t xml:space="preserve">Precatórios de Pessoal – Regime Ordinário – antes de 05/05/2000</t>
  </si>
  <si>
    <t xml:space="preserve">2.1.1.1.1.05.01.00.00.00</t>
  </si>
  <si>
    <t xml:space="preserve">Precatórios de Pessoal – Regime Ordinário – a partir de 05/05/2000 – Não Vencidos</t>
  </si>
  <si>
    <t xml:space="preserve">2.1.1.1.1.05.03.00.00.00</t>
  </si>
  <si>
    <t xml:space="preserve">Precatórios de Benefícios Previdenciários – Regime Especial – antes de 05/05/2000</t>
  </si>
  <si>
    <t xml:space="preserve">2.1.1.2.1.04.01.00.00.00</t>
  </si>
  <si>
    <t xml:space="preserve">Precatórios de Benefícios Previdenciários – Regime Especial – a partir de 05/05/2000 – Não Vencidos</t>
  </si>
  <si>
    <t xml:space="preserve">2.1.1.2.1.04.03.00.00.00</t>
  </si>
  <si>
    <t xml:space="preserve">Precatórios de Benefícios Previdenciários – Regime Ordinário – antes de 05/05/2000</t>
  </si>
  <si>
    <t xml:space="preserve">2.1.1.2.1.05.01.00.00.00</t>
  </si>
  <si>
    <t xml:space="preserve">Precatórios de Benefícios Previdenciários – Regime Ordinário – a partir de 05/05/2000 – Não Vencidos</t>
  </si>
  <si>
    <t xml:space="preserve">2.1.1.2.1.05.03.00.00.00</t>
  </si>
  <si>
    <t xml:space="preserve">Precatórios de Benefícios Assistenciais – Regime Especial – antes de 05/05/2000</t>
  </si>
  <si>
    <t xml:space="preserve">2.1.1.3.1.03.01.00.00.00</t>
  </si>
  <si>
    <t xml:space="preserve">Precatórios de Benefícios Assistenciais – Regime Especial – a partir de 05/05/2000 – Não Vencidos</t>
  </si>
  <si>
    <t xml:space="preserve">2.1.1.3.1.03.03.00.00.00</t>
  </si>
  <si>
    <t xml:space="preserve">Precatórios de Benefícios Assistenciais – Regime Ordinário – antes de 05/05/2000</t>
  </si>
  <si>
    <t xml:space="preserve">2.1.1.3.1.04.01.00.00.00</t>
  </si>
  <si>
    <t xml:space="preserve">Precatórios de Benefícios Assistenciais – Regime Ordinário – a partir de 05/05/2000 – Não Vencidos</t>
  </si>
  <si>
    <t xml:space="preserve">2.1.1.3.1.04.03.00.00.00</t>
  </si>
  <si>
    <t xml:space="preserve">Antecipação da Receita Orçamentária</t>
  </si>
  <si>
    <t xml:space="preserve">2.1.2.1.1.02.05.00.00.00</t>
  </si>
  <si>
    <t xml:space="preserve">aro</t>
  </si>
  <si>
    <t xml:space="preserve">2.1.2.1.3.02.05.00.00.00</t>
  </si>
  <si>
    <t xml:space="preserve">2.1.2.1.4.02.05.00.00.00</t>
  </si>
  <si>
    <t xml:space="preserve">2.1.2.1.5.02.05.00.00.00</t>
  </si>
  <si>
    <t xml:space="preserve">Precatórios de Fornecedores Nacionais – Regime Especial – antes de 05/05/2000</t>
  </si>
  <si>
    <t xml:space="preserve">2.1.3.1.1.05.01.00.00.00</t>
  </si>
  <si>
    <t xml:space="preserve">Precatórios de Fornecedores Nacionais – Regime Especial – a partir de 05/05/2000 – Não Vencidos</t>
  </si>
  <si>
    <t xml:space="preserve">2.1.3.1.1.05.03.00.00.00</t>
  </si>
  <si>
    <t xml:space="preserve">Precatórios de Fornecedores Nacionais – Regime Ordinário – antes de 05/05/2000</t>
  </si>
  <si>
    <t xml:space="preserve">2.1.3.1.1.06.01.00.00.00</t>
  </si>
  <si>
    <t xml:space="preserve">Precatórios de Fornecedores Nacionais – Regime Ordinário – a partir de 05/05/2000 – Não Vencidos</t>
  </si>
  <si>
    <t xml:space="preserve">2.1.3.1.1.06.03.00.00.00</t>
  </si>
  <si>
    <t xml:space="preserve">Precatórios de Contas a Pagar – Regime Especial – antes de 05/05/2000</t>
  </si>
  <si>
    <t xml:space="preserve">2.1.3.1.1.07.01.00.00.00</t>
  </si>
  <si>
    <t xml:space="preserve">Precatórios de Contas a Pagar – Regime Especial – a partir de 05/05/2000 – Não Vencidos</t>
  </si>
  <si>
    <t xml:space="preserve">2.1.3.1.1.07.03.00.00.00</t>
  </si>
  <si>
    <t xml:space="preserve">Precatórios de Contas a Pagar – Regime Ordinário – antes de 05/05/2000</t>
  </si>
  <si>
    <t xml:space="preserve">2.1.3.1.1.08.01.00.00.00</t>
  </si>
  <si>
    <t xml:space="preserve">Precatórios de Contas a Pagar – Regime Ordinário – a partir de 05/05/2000 – Não Vencidos</t>
  </si>
  <si>
    <t xml:space="preserve">2.1.3.1.1.08.03.00.00.00</t>
  </si>
  <si>
    <t xml:space="preserve">Valores Restituíveis</t>
  </si>
  <si>
    <t xml:space="preserve">2.1.8.8.0.00.00.00.00.00</t>
  </si>
  <si>
    <t xml:space="preserve">depositos</t>
  </si>
  <si>
    <t xml:space="preserve">2.2.1.1.1.03.01.00.00.00</t>
  </si>
  <si>
    <t xml:space="preserve">2.2.1.1.1.03.03.00.00.00</t>
  </si>
  <si>
    <t xml:space="preserve">2.2.1.1.1.04.01.00.00.00</t>
  </si>
  <si>
    <t xml:space="preserve">2.2.1.1.1.04.03.00.00.00</t>
  </si>
  <si>
    <t xml:space="preserve">2.2.1.2.1.02.01.00.00.00</t>
  </si>
  <si>
    <t xml:space="preserve">2.2.1.2.1.02.03.00.00.00</t>
  </si>
  <si>
    <t xml:space="preserve">2.2.1.2.1.03.01.00.00.00</t>
  </si>
  <si>
    <t xml:space="preserve">2.2.1.2.1.03.03.00.00.00</t>
  </si>
  <si>
    <t xml:space="preserve">2.2.1.3.1.02.01.00.00.00</t>
  </si>
  <si>
    <t xml:space="preserve">2.2.1.3.1.02.03.00.00.00</t>
  </si>
  <si>
    <t xml:space="preserve">2.2.1.3.1.03.01.00.00.00</t>
  </si>
  <si>
    <t xml:space="preserve">2.2.1.3.1.03.03.00.00.00</t>
  </si>
  <si>
    <t xml:space="preserve">2.2.3.1.1.04.01.00.00.00</t>
  </si>
  <si>
    <t xml:space="preserve">2.2.3.1.1.04.03.00.00.00</t>
  </si>
  <si>
    <t xml:space="preserve">2.2.3.1.1.05.01.00.00.00</t>
  </si>
  <si>
    <t xml:space="preserve">2.2.3.1.1.05.03.00.00.00</t>
  </si>
  <si>
    <t xml:space="preserve">2.2.3.1.1.06.01.00.00.00</t>
  </si>
  <si>
    <t xml:space="preserve">2.2.3.1.1.06.03.00.00.00</t>
  </si>
  <si>
    <t xml:space="preserve">2.2.3.1.1.07.01.00.00.00</t>
  </si>
  <si>
    <t xml:space="preserve">2.2.3.1.1.07.03.00.00.00</t>
  </si>
  <si>
    <t xml:space="preserve">Provisões Matemáticas Previdenciárias a Longo Prazo – Consolidação</t>
  </si>
  <si>
    <t xml:space="preserve">2.2.7.2.1.00.00.00.00.00</t>
  </si>
  <si>
    <t xml:space="preserve">provisao</t>
  </si>
  <si>
    <t xml:space="preserve">2.2.8.8.0.00.00.00.00.00</t>
  </si>
  <si>
    <t xml:space="preserve">RP Não Processados a Liquidar</t>
  </si>
  <si>
    <t xml:space="preserve">6.3.1.1.0.00.00.00.00.00</t>
  </si>
  <si>
    <t xml:space="preserve">restos</t>
  </si>
  <si>
    <t xml:space="preserve">RP Não Processados em Liquidação</t>
  </si>
  <si>
    <t xml:space="preserve">6.3.1.2.0.00.00.00.00.00</t>
  </si>
  <si>
    <t xml:space="preserve">RP Não Processados Liquidados a Pagar</t>
  </si>
  <si>
    <t xml:space="preserve">6.3.1.3.0.00.00.00.00.00</t>
  </si>
  <si>
    <t xml:space="preserve">RP Não Processados a Liquidar Bloqueados</t>
  </si>
  <si>
    <t xml:space="preserve">6.3.1.5.0.00.00.00.00.00</t>
  </si>
  <si>
    <t xml:space="preserve">Insuficiência Financeira</t>
  </si>
  <si>
    <t xml:space="preserve">insuficiencia</t>
  </si>
  <si>
    <t xml:space="preserve">MUNICÍPIO DE INDEPENDÊNCIA – RS</t>
  </si>
  <si>
    <t xml:space="preserve">RELATÓRIO RESUMIDO DA EXECUÇÃO ORÇAMENTÁRIA</t>
  </si>
  <si>
    <t xml:space="preserve">DEMONSTRATIVO DO RESULTADO NOMINAL</t>
  </si>
  <si>
    <t xml:space="preserve">ORÇAMENTOS FISCAL E DA SEGURIDADE SOCIAL</t>
  </si>
  <si>
    <t xml:space="preserve">RREO - ANEXO 5 (LRF, art 53, inciso III)</t>
  </si>
  <si>
    <t xml:space="preserve">Em Reais</t>
  </si>
  <si>
    <t xml:space="preserve">SALDO</t>
  </si>
  <si>
    <t xml:space="preserve">DÍVIDA FISCAL LÍQUIDA</t>
  </si>
  <si>
    <t xml:space="preserve">(a)</t>
  </si>
  <si>
    <t xml:space="preserve">(b)</t>
  </si>
  <si>
    <t xml:space="preserve">(c)</t>
  </si>
  <si>
    <t xml:space="preserve">DÍVIDA CONSOLIDADA (I)</t>
  </si>
  <si>
    <t xml:space="preserve">DEDUÇÕES (II)</t>
  </si>
  <si>
    <t xml:space="preserve">    Disponibilidade de Caixa</t>
  </si>
  <si>
    <t xml:space="preserve">           Disponibilidade de Caixa Bruta</t>
  </si>
  <si>
    <t xml:space="preserve">           (-) Restos a Pagar Processados (Exceto precatórios)</t>
  </si>
  <si>
    <t xml:space="preserve">    Demais Haveres Financeiros</t>
  </si>
  <si>
    <t xml:space="preserve">DÍVIDA CONSOLIDADA LÍQUIDA (III) = (I - II)</t>
  </si>
  <si>
    <t xml:space="preserve">RECEITA DE PRIVATIZAÇÕES (IV)</t>
  </si>
  <si>
    <t xml:space="preserve">PASSIVOS RECONHECIDOS (V)</t>
  </si>
  <si>
    <t xml:space="preserve">DÍVIDA FISCAL LÍQUIDA (VI) = (III + IV - V)</t>
  </si>
  <si>
    <t xml:space="preserve">PERÍODO DE REFERÊNCIA</t>
  </si>
  <si>
    <t xml:space="preserve">RESULTADO NOMINAL </t>
  </si>
  <si>
    <t xml:space="preserve">No Bimestre</t>
  </si>
  <si>
    <t xml:space="preserve">Até o Bimestre</t>
  </si>
  <si>
    <t xml:space="preserve">(VIc -VIb)</t>
  </si>
  <si>
    <t xml:space="preserve">(VIc - VIa)</t>
  </si>
  <si>
    <t xml:space="preserve">VALOR</t>
  </si>
  <si>
    <t xml:space="preserve">DISCRIMINAÇÃO DA META FISCAL</t>
  </si>
  <si>
    <t xml:space="preserve">VALOR CORRENTE</t>
  </si>
  <si>
    <t xml:space="preserve">META DE RESULTADO NOMINAL FIXADA NO ANEXO DE METAS FISCAIS DA LDO P/ O EXERCÍCIO DE REFERÊNCIA</t>
  </si>
  <si>
    <t xml:space="preserve">RELATÓRIO DE GESTÃO FISCAL</t>
  </si>
  <si>
    <t xml:space="preserve"> DEMONSTRATIVO DA DÍVIDA CONSOLIDADA LÍQUIDA</t>
  </si>
  <si>
    <t xml:space="preserve"> RGF - ANEXO 2 (LRF, art. 55, inciso I, alínea "b")</t>
  </si>
  <si>
    <t xml:space="preserve">DÍVIDA CONSOLIDADA </t>
  </si>
  <si>
    <t xml:space="preserve">SALDO DO</t>
  </si>
  <si>
    <t xml:space="preserve">EXERCÍCIO ANTERIOR</t>
  </si>
  <si>
    <t xml:space="preserve">Até o 1º Semestre</t>
  </si>
  <si>
    <t xml:space="preserve">Até o 2º Semestre</t>
  </si>
  <si>
    <t xml:space="preserve">DÍVIDA CONSOLIDADA - DC (I)</t>
  </si>
  <si>
    <t xml:space="preserve">    Dívida Mobiliária</t>
  </si>
  <si>
    <t xml:space="preserve">    Dívida Contratual</t>
  </si>
  <si>
    <t xml:space="preserve">        Empréstimos</t>
  </si>
  <si>
    <t xml:space="preserve">            Internos</t>
  </si>
  <si>
    <t xml:space="preserve">            Externos</t>
  </si>
  <si>
    <t xml:space="preserve">        Reestruturação da Dívida de Estados e Municípios</t>
  </si>
  <si>
    <t xml:space="preserve">        Financiamentos</t>
  </si>
  <si>
    <t xml:space="preserve">        Parcelamento e Renegociação de dívidas</t>
  </si>
  <si>
    <t xml:space="preserve">            De Tributos</t>
  </si>
  <si>
    <t xml:space="preserve">            De Contribuições Previdenciárias</t>
  </si>
  <si>
    <t xml:space="preserve">            De Demais Contribuições Sociais</t>
  </si>
  <si>
    <t xml:space="preserve">            Do FGTS</t>
  </si>
  <si>
    <t xml:space="preserve">            Com Instituição Não financeira</t>
  </si>
  <si>
    <t xml:space="preserve">        Demais Dívidas Contratuais</t>
  </si>
  <si>
    <t xml:space="preserve">    Precatórios Posteriores a 05/05/2000 (inclusive) - Vencidos e não pagos</t>
  </si>
  <si>
    <t xml:space="preserve">    Outras Dívidas</t>
  </si>
  <si>
    <t xml:space="preserve">    Disponibilidade de Caixa¹</t>
  </si>
  <si>
    <t xml:space="preserve">        Disponibilidade de Caixa Bruta</t>
  </si>
  <si>
    <t xml:space="preserve">        (-) Restos a Pagar Processados</t>
  </si>
  <si>
    <t xml:space="preserve">DÍVIDA CONSOLIDADA LÍQUIDA² (DCL) (III) = (I - II)</t>
  </si>
  <si>
    <t xml:space="preserve">RECEITA CORRENTE LÍQUIDA - RCL</t>
  </si>
  <si>
    <t xml:space="preserve">% da DC sobre a RCL (I/RCL)</t>
  </si>
  <si>
    <t xml:space="preserve">% da DCL sobre a RCL (III/RCL)</t>
  </si>
  <si>
    <t xml:space="preserve">LIMITE DEFINIDO POR RESOLUÇÃO DO SENADO FEDERAL – 120%</t>
  </si>
  <si>
    <t xml:space="preserve">LIMITE DE ALERTA (inciso III do § 1º do art. 59 da LRF) – 108%</t>
  </si>
  <si>
    <t xml:space="preserve">OUTROS VALORES NÃO INTEGRANTES DA DC</t>
  </si>
  <si>
    <t xml:space="preserve">PRECATÓRIOS ANTERIORES A 05/05/2000</t>
  </si>
  <si>
    <r>
      <rPr>
        <sz val="10"/>
        <rFont val="Times New Roman"/>
        <family val="1"/>
      </rPr>
      <t xml:space="preserve">PRECATÓRIOS POSTERIORES A 05/05/2000 (Não incluídos na DC)</t>
    </r>
    <r>
      <rPr>
        <vertAlign val="superscript"/>
        <sz val="8"/>
        <rFont val="Times New Roman"/>
        <family val="1"/>
      </rPr>
      <t xml:space="preserve">2</t>
    </r>
  </si>
  <si>
    <t xml:space="preserve">PASSIVO ATUARIAL</t>
  </si>
  <si>
    <t xml:space="preserve">INSUFICIÊNCIA FINANCEIRA</t>
  </si>
  <si>
    <t xml:space="preserve">DEPÓSITOS</t>
  </si>
  <si>
    <t xml:space="preserve">RP NÃO-PROCESSADOS </t>
  </si>
  <si>
    <t xml:space="preserve">ANTECIPAÇÕES DE RECEITA ORÇAMENTÁRIA – ARO</t>
  </si>
  <si>
    <t xml:space="preserve">1. Se o saldo apurado for negativo, ou seja, se o total da Disponibilidade de Caixa Bruta for menor que Restos a Pagar Processados, esse saldo negativo não deverá ser informado nessa linha, mas sim na linha da “Insuficiência Financeira”, no quadro "Outros Valores não integrantes da Dívida Consolidada". Assim, quando o cálculo de Disponibilidade de Caixa for negativo, o valor dessa linha deverá ser (0) "zero".</t>
  </si>
  <si>
    <t xml:space="preserve">2. Refere-se aos precatórios posteriores a 05/05/2000 que, em cumprimento ao disposto no artigo 100 da Constituição Federal, ainda não foram incluídos no orçamento ou constam no orçamento e ainda não foram pagos. Ao final do exercício em que esses precatórios foram incluídos ou que deveriam ter sido incluídos, os valores deverão compor a linha "Precatórios Posteriores a 05/05/2000 (inclusive) - Vencidos e não pagos"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</si>
</sst>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"/>
    <numFmt numFmtId="166" formatCode="#,##0.00"/>
    <numFmt numFmtId="167" formatCode="@"/>
    <numFmt numFmtId="168" formatCode="&quot;R$ &quot;#,##0.00\ ;[RED]&quot;(R$ &quot;#,##0.00\)"/>
    <numFmt numFmtId="169" formatCode="#,##0;\-#,##0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FreeSans"/>
      <family val="2"/>
    </font>
    <font>
      <sz val="10"/>
      <name val="FreeSans"/>
      <family val="2"/>
    </font>
    <font>
      <sz val="10"/>
      <color rgb="FF333333"/>
      <name val="FreeSans"/>
      <family val="2"/>
    </font>
    <font>
      <sz val="10"/>
      <color rgb="FF808080"/>
      <name val="FreeSans"/>
      <family val="2"/>
    </font>
    <font>
      <sz val="10"/>
      <color rgb="FF006600"/>
      <name val="FreeSans"/>
      <family val="2"/>
    </font>
    <font>
      <sz val="10"/>
      <color rgb="FF996600"/>
      <name val="FreeSans"/>
      <family val="2"/>
    </font>
    <font>
      <sz val="10"/>
      <color rgb="FFCC0000"/>
      <name val="FreeSans"/>
      <family val="2"/>
    </font>
    <font>
      <sz val="10"/>
      <color rgb="FFFFFFFF"/>
      <name val="FreeSans"/>
      <family val="2"/>
    </font>
    <font>
      <b val="true"/>
      <sz val="10"/>
      <name val="Arial"/>
      <family val="2"/>
    </font>
    <font>
      <sz val="10"/>
      <name val="Times New Roman"/>
      <family val="1"/>
    </font>
    <font>
      <b val="true"/>
      <sz val="10"/>
      <name val="Times New Roman"/>
      <family val="1"/>
    </font>
    <font>
      <b val="true"/>
      <u val="single"/>
      <sz val="10"/>
      <name val="Times New Roman"/>
      <family val="1"/>
    </font>
    <font>
      <sz val="8"/>
      <name val="Times New Roman"/>
      <family val="1"/>
    </font>
    <font>
      <sz val="10"/>
      <color rgb="FF000000"/>
      <name val="Times New Roman"/>
      <family val="1"/>
    </font>
    <font>
      <sz val="8"/>
      <color rgb="FFFFFFFF"/>
      <name val="Times New Roman"/>
      <family val="1"/>
    </font>
    <font>
      <b val="true"/>
      <sz val="10"/>
      <color rgb="FF000000"/>
      <name val="Times New Roman"/>
      <family val="1"/>
    </font>
    <font>
      <vertAlign val="superscript"/>
      <sz val="8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EFF0F1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CCCC"/>
      </patternFill>
    </fill>
    <fill>
      <patternFill patternType="solid">
        <fgColor rgb="FFCCCCCC"/>
        <bgColor rgb="FFC0C0C0"/>
      </patternFill>
    </fill>
    <fill>
      <patternFill patternType="solid">
        <fgColor rgb="FFC0C0C0"/>
        <bgColor rgb="FFCCCC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>
        <color rgb="FFEFF0F1"/>
      </bottom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8" fillId="3" borderId="0" applyFont="true" applyBorder="false" applyAlignment="false" applyProtection="false"/>
    <xf numFmtId="164" fontId="9" fillId="2" borderId="0" applyFont="true" applyBorder="false" applyAlignment="false" applyProtection="false"/>
    <xf numFmtId="164" fontId="10" fillId="4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5" borderId="0" applyFont="true" applyBorder="false" applyAlignment="false" applyProtection="false"/>
    <xf numFmtId="164" fontId="4" fillId="0" borderId="0" applyFont="true" applyBorder="false" applyAlignment="false" applyProtection="false"/>
    <xf numFmtId="164" fontId="11" fillId="6" borderId="0" applyFont="true" applyBorder="false" applyAlignment="false" applyProtection="false"/>
    <xf numFmtId="164" fontId="11" fillId="7" borderId="0" applyFont="true" applyBorder="false" applyAlignment="false" applyProtection="false"/>
    <xf numFmtId="164" fontId="4" fillId="8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9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3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3" fillId="0" borderId="8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6" fontId="17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1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1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6" fontId="17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1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2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FF0F1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J277"/>
  <sheetViews>
    <sheetView showFormulas="false" showGridLines="true" showRowColHeaders="true" showZeros="true" rightToLeft="false" tabSelected="true" showOutlineSymbols="true" defaultGridColor="true" view="normal" topLeftCell="B193" colorId="64" zoomScale="90" zoomScaleNormal="90" zoomScalePageLayoutView="100" workbookViewId="0">
      <selection pane="topLeft" activeCell="C226" activeCellId="0" sqref="C226"/>
    </sheetView>
  </sheetViews>
  <sheetFormatPr defaultRowHeight="12.8" zeroHeight="false" outlineLevelRow="0" outlineLevelCol="0"/>
  <cols>
    <col collapsed="false" customWidth="true" hidden="false" outlineLevel="0" max="1" min="1" style="0" width="90.77"/>
    <col collapsed="false" customWidth="true" hidden="false" outlineLevel="0" max="2" min="2" style="0" width="21.16"/>
    <col collapsed="false" customWidth="true" hidden="false" outlineLevel="0" max="4" min="3" style="0" width="13.82"/>
    <col collapsed="false" customWidth="true" hidden="false" outlineLevel="0" max="5" min="5" style="0" width="16.14"/>
    <col collapsed="false" customWidth="true" hidden="false" outlineLevel="0" max="6" min="6" style="0" width="13.82"/>
    <col collapsed="false" customWidth="true" hidden="false" outlineLevel="0" max="7" min="7" style="0" width="29.72"/>
    <col collapsed="false" customWidth="true" hidden="false" outlineLevel="0" max="10" min="8" style="0" width="12.74"/>
    <col collapsed="false" customWidth="false" hidden="false" outlineLevel="0" max="1025" min="11" style="0" width="11.52"/>
  </cols>
  <sheetData>
    <row r="1" customFormat="false" ht="12.8" hidden="false" customHeight="false" outlineLevel="0" collapsed="false">
      <c r="A1" s="1"/>
      <c r="B1" s="1"/>
      <c r="C1" s="0" t="s">
        <v>0</v>
      </c>
      <c r="D1" s="0" t="s">
        <v>1</v>
      </c>
      <c r="E1" s="0" t="s">
        <v>2</v>
      </c>
      <c r="F1" s="0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2" t="n">
        <v>42735</v>
      </c>
      <c r="D2" s="2" t="n">
        <v>42916</v>
      </c>
      <c r="E2" s="2" t="n">
        <v>42855</v>
      </c>
      <c r="F2" s="2" t="n">
        <v>42916</v>
      </c>
      <c r="G2" s="0" t="s">
        <v>6</v>
      </c>
      <c r="H2" s="0" t="s">
        <v>7</v>
      </c>
    </row>
    <row r="3" customFormat="false" ht="12.8" hidden="false" customHeight="false" outlineLevel="0" collapsed="false">
      <c r="A3" s="3" t="s">
        <v>8</v>
      </c>
      <c r="B3" s="3"/>
      <c r="C3" s="4" t="n">
        <f aca="false">SUM(C4:C62,C71:C138,C148:C166)-SUM(C63:C70,C139:C147)</f>
        <v>0</v>
      </c>
      <c r="D3" s="4" t="n">
        <f aca="false">SUM(D4:D62,D71:D138,D148:D166)-SUM(D63:D70,D139:D147)</f>
        <v>0</v>
      </c>
      <c r="E3" s="4" t="n">
        <f aca="false">SUM(E4:E62,E71:E138,E148:E166)-SUM(E63:E70,E139:E147)</f>
        <v>0</v>
      </c>
      <c r="F3" s="4" t="n">
        <f aca="false">SUM(F4:F62,F71:F138,F148:F166)-SUM(F63:F70,F139:F147)</f>
        <v>0</v>
      </c>
      <c r="G3" s="0" t="s">
        <v>9</v>
      </c>
      <c r="H3" s="5" t="n">
        <f aca="false">C2</f>
        <v>42735</v>
      </c>
      <c r="I3" s="5" t="n">
        <f aca="false">D2</f>
        <v>42916</v>
      </c>
      <c r="J3" s="5" t="n">
        <v>43100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6"/>
      <c r="D4" s="6"/>
      <c r="E4" s="6"/>
      <c r="F4" s="6"/>
      <c r="G4" s="0" t="s">
        <v>12</v>
      </c>
      <c r="H4" s="7" t="n">
        <f aca="false">C4</f>
        <v>0</v>
      </c>
      <c r="I4" s="7" t="n">
        <f aca="false">D4</f>
        <v>0</v>
      </c>
      <c r="J4" s="7" t="n">
        <f aca="false">IF($F$2=$J$3,F4,0)</f>
        <v>0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6"/>
      <c r="D5" s="6"/>
      <c r="E5" s="6"/>
      <c r="F5" s="6"/>
      <c r="G5" s="0" t="s">
        <v>12</v>
      </c>
      <c r="H5" s="7" t="n">
        <f aca="false">C5</f>
        <v>0</v>
      </c>
      <c r="I5" s="7" t="n">
        <f aca="false">D5</f>
        <v>0</v>
      </c>
      <c r="J5" s="7" t="n">
        <f aca="false">IF($F$2=$J$3,F5,0)</f>
        <v>0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6"/>
      <c r="D6" s="6"/>
      <c r="E6" s="6"/>
      <c r="F6" s="6"/>
      <c r="G6" s="0" t="s">
        <v>12</v>
      </c>
      <c r="H6" s="7" t="n">
        <f aca="false">C6</f>
        <v>0</v>
      </c>
      <c r="I6" s="7" t="n">
        <f aca="false">D6</f>
        <v>0</v>
      </c>
      <c r="J6" s="7" t="n">
        <f aca="false">IF($F$2=$J$3,F6,0)</f>
        <v>0</v>
      </c>
    </row>
    <row r="7" customFormat="false" ht="12.8" hidden="false" customHeight="false" outlineLevel="0" collapsed="false">
      <c r="A7" s="0" t="s">
        <v>17</v>
      </c>
      <c r="B7" s="0" t="s">
        <v>18</v>
      </c>
      <c r="C7" s="6"/>
      <c r="D7" s="6"/>
      <c r="E7" s="6"/>
      <c r="F7" s="6"/>
      <c r="G7" s="0" t="s">
        <v>12</v>
      </c>
      <c r="H7" s="7" t="n">
        <f aca="false">C7</f>
        <v>0</v>
      </c>
      <c r="I7" s="7" t="n">
        <f aca="false">D7</f>
        <v>0</v>
      </c>
      <c r="J7" s="7" t="n">
        <f aca="false">IF($F$2=$J$3,F7,0)</f>
        <v>0</v>
      </c>
    </row>
    <row r="8" customFormat="false" ht="12.8" hidden="false" customHeight="false" outlineLevel="0" collapsed="false">
      <c r="A8" s="0" t="s">
        <v>19</v>
      </c>
      <c r="B8" s="0" t="s">
        <v>20</v>
      </c>
      <c r="C8" s="6"/>
      <c r="D8" s="6"/>
      <c r="E8" s="6"/>
      <c r="F8" s="6"/>
      <c r="G8" s="0" t="s">
        <v>12</v>
      </c>
      <c r="H8" s="7" t="n">
        <f aca="false">C8</f>
        <v>0</v>
      </c>
      <c r="I8" s="7" t="n">
        <f aca="false">D8</f>
        <v>0</v>
      </c>
      <c r="J8" s="7" t="n">
        <f aca="false">IF($F$2=$J$3,F8,0)</f>
        <v>0</v>
      </c>
    </row>
    <row r="9" customFormat="false" ht="12.8" hidden="false" customHeight="false" outlineLevel="0" collapsed="false">
      <c r="A9" s="0" t="s">
        <v>21</v>
      </c>
      <c r="B9" s="0" t="s">
        <v>22</v>
      </c>
      <c r="C9" s="6"/>
      <c r="D9" s="6"/>
      <c r="E9" s="6"/>
      <c r="F9" s="6"/>
      <c r="G9" s="0" t="s">
        <v>12</v>
      </c>
      <c r="H9" s="7" t="n">
        <f aca="false">C9</f>
        <v>0</v>
      </c>
      <c r="I9" s="7" t="n">
        <f aca="false">D9</f>
        <v>0</v>
      </c>
      <c r="J9" s="7" t="n">
        <f aca="false">IF($F$2=$J$3,F9,0)</f>
        <v>0</v>
      </c>
    </row>
    <row r="10" customFormat="false" ht="12.8" hidden="false" customHeight="false" outlineLevel="0" collapsed="false">
      <c r="A10" s="0" t="s">
        <v>23</v>
      </c>
      <c r="B10" s="0" t="s">
        <v>24</v>
      </c>
      <c r="C10" s="6"/>
      <c r="D10" s="6"/>
      <c r="E10" s="6"/>
      <c r="F10" s="6"/>
      <c r="G10" s="0" t="s">
        <v>25</v>
      </c>
      <c r="H10" s="7" t="n">
        <f aca="false">C10</f>
        <v>0</v>
      </c>
      <c r="I10" s="7" t="n">
        <f aca="false">D10</f>
        <v>0</v>
      </c>
      <c r="J10" s="7" t="n">
        <f aca="false">IF($F$2=$J$3,F10,0)</f>
        <v>0</v>
      </c>
    </row>
    <row r="11" customFormat="false" ht="12.8" hidden="false" customHeight="false" outlineLevel="0" collapsed="false">
      <c r="A11" s="0" t="s">
        <v>23</v>
      </c>
      <c r="B11" s="0" t="s">
        <v>26</v>
      </c>
      <c r="C11" s="6"/>
      <c r="D11" s="6"/>
      <c r="E11" s="6"/>
      <c r="F11" s="6"/>
      <c r="G11" s="0" t="s">
        <v>25</v>
      </c>
      <c r="H11" s="7" t="n">
        <f aca="false">C11</f>
        <v>0</v>
      </c>
      <c r="I11" s="7" t="n">
        <f aca="false">D11</f>
        <v>0</v>
      </c>
      <c r="J11" s="7" t="n">
        <f aca="false">IF($F$2=$J$3,F11,0)</f>
        <v>0</v>
      </c>
    </row>
    <row r="12" customFormat="false" ht="12.8" hidden="false" customHeight="false" outlineLevel="0" collapsed="false">
      <c r="A12" s="0" t="s">
        <v>27</v>
      </c>
      <c r="B12" s="0" t="s">
        <v>28</v>
      </c>
      <c r="C12" s="6"/>
      <c r="D12" s="6"/>
      <c r="E12" s="6"/>
      <c r="F12" s="6"/>
      <c r="G12" s="0" t="s">
        <v>25</v>
      </c>
      <c r="H12" s="7" t="n">
        <f aca="false">C12</f>
        <v>0</v>
      </c>
      <c r="I12" s="7" t="n">
        <f aca="false">D12</f>
        <v>0</v>
      </c>
      <c r="J12" s="7" t="n">
        <f aca="false">IF($F$2=$J$3,F12,0)</f>
        <v>0</v>
      </c>
    </row>
    <row r="13" customFormat="false" ht="12.8" hidden="false" customHeight="false" outlineLevel="0" collapsed="false">
      <c r="A13" s="0" t="s">
        <v>27</v>
      </c>
      <c r="B13" s="0" t="s">
        <v>29</v>
      </c>
      <c r="C13" s="6"/>
      <c r="D13" s="6"/>
      <c r="E13" s="6"/>
      <c r="F13" s="6"/>
      <c r="G13" s="0" t="s">
        <v>25</v>
      </c>
      <c r="H13" s="7" t="n">
        <f aca="false">C13</f>
        <v>0</v>
      </c>
      <c r="I13" s="7" t="n">
        <f aca="false">D13</f>
        <v>0</v>
      </c>
      <c r="J13" s="7" t="n">
        <f aca="false">IF($F$2=$J$3,F13,0)</f>
        <v>0</v>
      </c>
    </row>
    <row r="14" customFormat="false" ht="12.8" hidden="false" customHeight="false" outlineLevel="0" collapsed="false">
      <c r="A14" s="0" t="s">
        <v>27</v>
      </c>
      <c r="B14" s="0" t="s">
        <v>30</v>
      </c>
      <c r="C14" s="6"/>
      <c r="D14" s="6"/>
      <c r="E14" s="6"/>
      <c r="F14" s="6"/>
      <c r="G14" s="0" t="s">
        <v>25</v>
      </c>
      <c r="H14" s="7" t="n">
        <f aca="false">C14</f>
        <v>0</v>
      </c>
      <c r="I14" s="7" t="n">
        <f aca="false">D14</f>
        <v>0</v>
      </c>
      <c r="J14" s="7" t="n">
        <f aca="false">IF($F$2=$J$3,F14,0)</f>
        <v>0</v>
      </c>
    </row>
    <row r="15" customFormat="false" ht="12.8" hidden="false" customHeight="false" outlineLevel="0" collapsed="false">
      <c r="A15" s="0" t="s">
        <v>27</v>
      </c>
      <c r="B15" s="0" t="s">
        <v>31</v>
      </c>
      <c r="C15" s="6"/>
      <c r="D15" s="6"/>
      <c r="E15" s="6"/>
      <c r="F15" s="6"/>
      <c r="G15" s="0" t="s">
        <v>25</v>
      </c>
      <c r="H15" s="7" t="n">
        <f aca="false">C15</f>
        <v>0</v>
      </c>
      <c r="I15" s="7" t="n">
        <f aca="false">D15</f>
        <v>0</v>
      </c>
      <c r="J15" s="7" t="n">
        <f aca="false">IF($F$2=$J$3,F15,0)</f>
        <v>0</v>
      </c>
    </row>
    <row r="16" customFormat="false" ht="12.8" hidden="false" customHeight="false" outlineLevel="0" collapsed="false">
      <c r="A16" s="0" t="s">
        <v>32</v>
      </c>
      <c r="B16" s="0" t="s">
        <v>33</v>
      </c>
      <c r="C16" s="6"/>
      <c r="D16" s="6"/>
      <c r="E16" s="6"/>
      <c r="F16" s="6"/>
      <c r="G16" s="0" t="s">
        <v>34</v>
      </c>
      <c r="H16" s="7" t="n">
        <f aca="false">C16</f>
        <v>0</v>
      </c>
      <c r="I16" s="7" t="n">
        <f aca="false">D16</f>
        <v>0</v>
      </c>
      <c r="J16" s="7" t="n">
        <f aca="false">IF($F$2=$J$3,F16,0)</f>
        <v>0</v>
      </c>
    </row>
    <row r="17" customFormat="false" ht="12.8" hidden="false" customHeight="false" outlineLevel="0" collapsed="false">
      <c r="A17" s="0" t="s">
        <v>32</v>
      </c>
      <c r="B17" s="0" t="s">
        <v>35</v>
      </c>
      <c r="C17" s="6"/>
      <c r="D17" s="6"/>
      <c r="E17" s="6"/>
      <c r="F17" s="6"/>
      <c r="G17" s="0" t="s">
        <v>34</v>
      </c>
      <c r="H17" s="7" t="n">
        <f aca="false">C17</f>
        <v>0</v>
      </c>
      <c r="I17" s="7" t="n">
        <f aca="false">D17</f>
        <v>0</v>
      </c>
      <c r="J17" s="7" t="n">
        <f aca="false">IF($F$2=$J$3,F17,0)</f>
        <v>0</v>
      </c>
    </row>
    <row r="18" customFormat="false" ht="12.8" hidden="false" customHeight="false" outlineLevel="0" collapsed="false">
      <c r="A18" s="0" t="s">
        <v>36</v>
      </c>
      <c r="B18" s="0" t="s">
        <v>37</v>
      </c>
      <c r="C18" s="6"/>
      <c r="D18" s="6"/>
      <c r="E18" s="6"/>
      <c r="F18" s="6"/>
      <c r="G18" s="0" t="s">
        <v>38</v>
      </c>
      <c r="H18" s="7" t="n">
        <f aca="false">C18</f>
        <v>0</v>
      </c>
      <c r="I18" s="7" t="n">
        <f aca="false">D18</f>
        <v>0</v>
      </c>
      <c r="J18" s="7" t="n">
        <f aca="false">IF($F$2=$J$3,F18,0)</f>
        <v>0</v>
      </c>
    </row>
    <row r="19" customFormat="false" ht="12.8" hidden="false" customHeight="false" outlineLevel="0" collapsed="false">
      <c r="A19" s="0" t="s">
        <v>36</v>
      </c>
      <c r="B19" s="0" t="s">
        <v>39</v>
      </c>
      <c r="C19" s="6"/>
      <c r="D19" s="6"/>
      <c r="E19" s="6"/>
      <c r="F19" s="6"/>
      <c r="G19" s="0" t="s">
        <v>38</v>
      </c>
      <c r="H19" s="7" t="n">
        <f aca="false">C19</f>
        <v>0</v>
      </c>
      <c r="I19" s="7" t="n">
        <f aca="false">D19</f>
        <v>0</v>
      </c>
      <c r="J19" s="7" t="n">
        <f aca="false">IF($F$2=$J$3,F19,0)</f>
        <v>0</v>
      </c>
    </row>
    <row r="20" customFormat="false" ht="12.8" hidden="false" customHeight="false" outlineLevel="0" collapsed="false">
      <c r="A20" s="0" t="s">
        <v>36</v>
      </c>
      <c r="B20" s="0" t="s">
        <v>40</v>
      </c>
      <c r="C20" s="6"/>
      <c r="D20" s="6"/>
      <c r="E20" s="6"/>
      <c r="F20" s="6"/>
      <c r="G20" s="0" t="s">
        <v>38</v>
      </c>
      <c r="H20" s="7" t="n">
        <f aca="false">C20</f>
        <v>0</v>
      </c>
      <c r="I20" s="7" t="n">
        <f aca="false">D20</f>
        <v>0</v>
      </c>
      <c r="J20" s="7" t="n">
        <f aca="false">IF($F$2=$J$3,F20,0)</f>
        <v>0</v>
      </c>
    </row>
    <row r="21" customFormat="false" ht="12.8" hidden="false" customHeight="false" outlineLevel="0" collapsed="false">
      <c r="A21" s="0" t="s">
        <v>36</v>
      </c>
      <c r="B21" s="0" t="s">
        <v>41</v>
      </c>
      <c r="C21" s="6"/>
      <c r="D21" s="6"/>
      <c r="E21" s="6"/>
      <c r="F21" s="6"/>
      <c r="G21" s="0" t="s">
        <v>38</v>
      </c>
      <c r="H21" s="7" t="n">
        <f aca="false">C21</f>
        <v>0</v>
      </c>
      <c r="I21" s="7" t="n">
        <f aca="false">D21</f>
        <v>0</v>
      </c>
      <c r="J21" s="7" t="n">
        <f aca="false">IF($F$2=$J$3,F21,0)</f>
        <v>0</v>
      </c>
    </row>
    <row r="22" customFormat="false" ht="12.8" hidden="false" customHeight="false" outlineLevel="0" collapsed="false">
      <c r="A22" s="0" t="s">
        <v>42</v>
      </c>
      <c r="B22" s="0" t="s">
        <v>43</v>
      </c>
      <c r="C22" s="6"/>
      <c r="D22" s="6"/>
      <c r="E22" s="6"/>
      <c r="F22" s="6"/>
      <c r="G22" s="0" t="s">
        <v>44</v>
      </c>
      <c r="H22" s="7" t="n">
        <f aca="false">C22</f>
        <v>0</v>
      </c>
      <c r="I22" s="7" t="n">
        <f aca="false">D22</f>
        <v>0</v>
      </c>
      <c r="J22" s="7" t="n">
        <f aca="false">IF($F$2=$J$3,F22,0)</f>
        <v>0</v>
      </c>
    </row>
    <row r="23" customFormat="false" ht="12.8" hidden="false" customHeight="false" outlineLevel="0" collapsed="false">
      <c r="A23" s="0" t="s">
        <v>42</v>
      </c>
      <c r="B23" s="0" t="s">
        <v>45</v>
      </c>
      <c r="C23" s="6"/>
      <c r="D23" s="6"/>
      <c r="E23" s="6"/>
      <c r="F23" s="6"/>
      <c r="G23" s="0" t="s">
        <v>44</v>
      </c>
      <c r="H23" s="7" t="n">
        <f aca="false">C23</f>
        <v>0</v>
      </c>
      <c r="I23" s="7" t="n">
        <f aca="false">D23</f>
        <v>0</v>
      </c>
      <c r="J23" s="7" t="n">
        <f aca="false">IF($F$2=$J$3,F23,0)</f>
        <v>0</v>
      </c>
    </row>
    <row r="24" customFormat="false" ht="12.8" hidden="false" customHeight="false" outlineLevel="0" collapsed="false">
      <c r="A24" s="0" t="s">
        <v>42</v>
      </c>
      <c r="B24" s="0" t="s">
        <v>46</v>
      </c>
      <c r="C24" s="6"/>
      <c r="D24" s="6"/>
      <c r="E24" s="6"/>
      <c r="F24" s="6"/>
      <c r="G24" s="0" t="s">
        <v>44</v>
      </c>
      <c r="H24" s="7" t="n">
        <f aca="false">C24</f>
        <v>0</v>
      </c>
      <c r="I24" s="7" t="n">
        <f aca="false">D24</f>
        <v>0</v>
      </c>
      <c r="J24" s="7" t="n">
        <f aca="false">IF($F$2=$J$3,F24,0)</f>
        <v>0</v>
      </c>
    </row>
    <row r="25" customFormat="false" ht="12.8" hidden="false" customHeight="false" outlineLevel="0" collapsed="false">
      <c r="A25" s="0" t="s">
        <v>42</v>
      </c>
      <c r="B25" s="0" t="s">
        <v>47</v>
      </c>
      <c r="C25" s="6"/>
      <c r="D25" s="6"/>
      <c r="E25" s="6"/>
      <c r="F25" s="6"/>
      <c r="G25" s="0" t="s">
        <v>44</v>
      </c>
      <c r="H25" s="7" t="n">
        <f aca="false">C25</f>
        <v>0</v>
      </c>
      <c r="I25" s="7" t="n">
        <f aca="false">D25</f>
        <v>0</v>
      </c>
      <c r="J25" s="7" t="n">
        <f aca="false">IF($F$2=$J$3,F25,0)</f>
        <v>0</v>
      </c>
    </row>
    <row r="26" customFormat="false" ht="12.8" hidden="false" customHeight="false" outlineLevel="0" collapsed="false">
      <c r="A26" s="0" t="s">
        <v>48</v>
      </c>
      <c r="B26" s="0" t="s">
        <v>49</v>
      </c>
      <c r="C26" s="6"/>
      <c r="D26" s="6"/>
      <c r="E26" s="6"/>
      <c r="F26" s="6"/>
      <c r="G26" s="0" t="s">
        <v>44</v>
      </c>
      <c r="H26" s="7" t="n">
        <f aca="false">C26</f>
        <v>0</v>
      </c>
      <c r="I26" s="7" t="n">
        <f aca="false">D26</f>
        <v>0</v>
      </c>
      <c r="J26" s="7" t="n">
        <f aca="false">IF($F$2=$J$3,F26,0)</f>
        <v>0</v>
      </c>
    </row>
    <row r="27" customFormat="false" ht="12.8" hidden="false" customHeight="false" outlineLevel="0" collapsed="false">
      <c r="A27" s="0" t="s">
        <v>48</v>
      </c>
      <c r="B27" s="0" t="s">
        <v>50</v>
      </c>
      <c r="C27" s="6"/>
      <c r="D27" s="6"/>
      <c r="E27" s="6"/>
      <c r="F27" s="6"/>
      <c r="G27" s="0" t="s">
        <v>44</v>
      </c>
      <c r="H27" s="7" t="n">
        <f aca="false">C27</f>
        <v>0</v>
      </c>
      <c r="I27" s="7" t="n">
        <f aca="false">D27</f>
        <v>0</v>
      </c>
      <c r="J27" s="7" t="n">
        <f aca="false">IF($F$2=$J$3,F27,0)</f>
        <v>0</v>
      </c>
    </row>
    <row r="28" customFormat="false" ht="12.8" hidden="false" customHeight="false" outlineLevel="0" collapsed="false">
      <c r="A28" s="0" t="s">
        <v>48</v>
      </c>
      <c r="B28" s="0" t="s">
        <v>51</v>
      </c>
      <c r="C28" s="6"/>
      <c r="D28" s="6"/>
      <c r="E28" s="6"/>
      <c r="F28" s="6"/>
      <c r="G28" s="0" t="s">
        <v>44</v>
      </c>
      <c r="H28" s="7" t="n">
        <f aca="false">C28</f>
        <v>0</v>
      </c>
      <c r="I28" s="7" t="n">
        <f aca="false">D28</f>
        <v>0</v>
      </c>
      <c r="J28" s="7" t="n">
        <f aca="false">IF($F$2=$J$3,F28,0)</f>
        <v>0</v>
      </c>
    </row>
    <row r="29" customFormat="false" ht="12.8" hidden="false" customHeight="false" outlineLevel="0" collapsed="false">
      <c r="A29" s="0" t="s">
        <v>48</v>
      </c>
      <c r="B29" s="0" t="s">
        <v>52</v>
      </c>
      <c r="C29" s="6"/>
      <c r="D29" s="6"/>
      <c r="E29" s="6"/>
      <c r="F29" s="6"/>
      <c r="G29" s="0" t="s">
        <v>44</v>
      </c>
      <c r="H29" s="7" t="n">
        <f aca="false">C29</f>
        <v>0</v>
      </c>
      <c r="I29" s="7" t="n">
        <f aca="false">D29</f>
        <v>0</v>
      </c>
      <c r="J29" s="7" t="n">
        <f aca="false">IF($F$2=$J$3,F29,0)</f>
        <v>0</v>
      </c>
    </row>
    <row r="30" customFormat="false" ht="12.8" hidden="false" customHeight="false" outlineLevel="0" collapsed="false">
      <c r="A30" s="0" t="s">
        <v>53</v>
      </c>
      <c r="B30" s="0" t="s">
        <v>54</v>
      </c>
      <c r="C30" s="6"/>
      <c r="D30" s="6"/>
      <c r="E30" s="6"/>
      <c r="F30" s="6"/>
      <c r="G30" s="0" t="s">
        <v>44</v>
      </c>
      <c r="H30" s="7" t="n">
        <f aca="false">C30</f>
        <v>0</v>
      </c>
      <c r="I30" s="7" t="n">
        <f aca="false">D30</f>
        <v>0</v>
      </c>
      <c r="J30" s="7" t="n">
        <f aca="false">IF($F$2=$J$3,F30,0)</f>
        <v>0</v>
      </c>
    </row>
    <row r="31" customFormat="false" ht="12.8" hidden="false" customHeight="false" outlineLevel="0" collapsed="false">
      <c r="A31" s="0" t="s">
        <v>53</v>
      </c>
      <c r="B31" s="0" t="s">
        <v>55</v>
      </c>
      <c r="C31" s="6"/>
      <c r="D31" s="6"/>
      <c r="E31" s="6"/>
      <c r="F31" s="6"/>
      <c r="G31" s="0" t="s">
        <v>44</v>
      </c>
      <c r="H31" s="7" t="n">
        <f aca="false">C31</f>
        <v>0</v>
      </c>
      <c r="I31" s="7" t="n">
        <f aca="false">D31</f>
        <v>0</v>
      </c>
      <c r="J31" s="7" t="n">
        <f aca="false">IF($F$2=$J$3,F31,0)</f>
        <v>0</v>
      </c>
    </row>
    <row r="32" customFormat="false" ht="12.8" hidden="false" customHeight="false" outlineLevel="0" collapsed="false">
      <c r="A32" s="0" t="s">
        <v>53</v>
      </c>
      <c r="B32" s="0" t="s">
        <v>56</v>
      </c>
      <c r="C32" s="6"/>
      <c r="D32" s="6"/>
      <c r="E32" s="6"/>
      <c r="F32" s="6"/>
      <c r="G32" s="0" t="s">
        <v>44</v>
      </c>
      <c r="H32" s="7" t="n">
        <f aca="false">C32</f>
        <v>0</v>
      </c>
      <c r="I32" s="7" t="n">
        <f aca="false">D32</f>
        <v>0</v>
      </c>
      <c r="J32" s="7" t="n">
        <f aca="false">IF($F$2=$J$3,F32,0)</f>
        <v>0</v>
      </c>
    </row>
    <row r="33" customFormat="false" ht="12.8" hidden="false" customHeight="false" outlineLevel="0" collapsed="false">
      <c r="A33" s="0" t="s">
        <v>57</v>
      </c>
      <c r="B33" s="0" t="s">
        <v>58</v>
      </c>
      <c r="C33" s="6"/>
      <c r="D33" s="6"/>
      <c r="E33" s="6"/>
      <c r="F33" s="6"/>
      <c r="G33" s="0" t="s">
        <v>59</v>
      </c>
      <c r="H33" s="7" t="n">
        <f aca="false">C33</f>
        <v>0</v>
      </c>
      <c r="I33" s="7" t="n">
        <f aca="false">D33</f>
        <v>0</v>
      </c>
      <c r="J33" s="7" t="n">
        <f aca="false">IF($F$2=$J$3,F33,0)</f>
        <v>0</v>
      </c>
    </row>
    <row r="34" customFormat="false" ht="12.8" hidden="false" customHeight="false" outlineLevel="0" collapsed="false">
      <c r="A34" s="0" t="s">
        <v>60</v>
      </c>
      <c r="B34" s="0" t="s">
        <v>61</v>
      </c>
      <c r="C34" s="6"/>
      <c r="D34" s="6"/>
      <c r="E34" s="6"/>
      <c r="F34" s="6"/>
      <c r="G34" s="0" t="s">
        <v>62</v>
      </c>
      <c r="H34" s="7" t="n">
        <f aca="false">C34</f>
        <v>0</v>
      </c>
      <c r="I34" s="7" t="n">
        <f aca="false">D34</f>
        <v>0</v>
      </c>
      <c r="J34" s="7" t="n">
        <f aca="false">IF($F$2=$J$3,F34,0)</f>
        <v>0</v>
      </c>
    </row>
    <row r="35" customFormat="false" ht="12.8" hidden="false" customHeight="false" outlineLevel="0" collapsed="false">
      <c r="A35" s="0" t="s">
        <v>63</v>
      </c>
      <c r="B35" s="0" t="s">
        <v>64</v>
      </c>
      <c r="C35" s="6"/>
      <c r="D35" s="6"/>
      <c r="E35" s="6"/>
      <c r="F35" s="6"/>
      <c r="G35" s="0" t="s">
        <v>62</v>
      </c>
      <c r="H35" s="7" t="n">
        <f aca="false">C35</f>
        <v>0</v>
      </c>
      <c r="I35" s="7" t="n">
        <f aca="false">D35</f>
        <v>0</v>
      </c>
      <c r="J35" s="7" t="n">
        <f aca="false">IF($F$2=$J$3,F35,0)</f>
        <v>0</v>
      </c>
    </row>
    <row r="36" customFormat="false" ht="12.8" hidden="false" customHeight="false" outlineLevel="0" collapsed="false">
      <c r="A36" s="0" t="s">
        <v>53</v>
      </c>
      <c r="B36" s="0" t="s">
        <v>65</v>
      </c>
      <c r="C36" s="6"/>
      <c r="D36" s="6"/>
      <c r="E36" s="6"/>
      <c r="F36" s="6"/>
      <c r="G36" s="0" t="s">
        <v>66</v>
      </c>
      <c r="H36" s="7" t="n">
        <f aca="false">C36</f>
        <v>0</v>
      </c>
      <c r="I36" s="7" t="n">
        <f aca="false">D36</f>
        <v>0</v>
      </c>
      <c r="J36" s="7" t="n">
        <f aca="false">IF($F$2=$J$3,F36,0)</f>
        <v>0</v>
      </c>
    </row>
    <row r="37" customFormat="false" ht="12.8" hidden="false" customHeight="false" outlineLevel="0" collapsed="false">
      <c r="A37" s="0" t="s">
        <v>67</v>
      </c>
      <c r="B37" s="0" t="s">
        <v>68</v>
      </c>
      <c r="C37" s="6"/>
      <c r="D37" s="6"/>
      <c r="E37" s="6"/>
      <c r="F37" s="6"/>
      <c r="G37" s="0" t="s">
        <v>69</v>
      </c>
      <c r="H37" s="7" t="n">
        <f aca="false">C37</f>
        <v>0</v>
      </c>
      <c r="I37" s="7" t="n">
        <f aca="false">D37</f>
        <v>0</v>
      </c>
      <c r="J37" s="7" t="n">
        <f aca="false">IF($F$2=$J$3,F37,0)</f>
        <v>0</v>
      </c>
    </row>
    <row r="38" customFormat="false" ht="12.8" hidden="false" customHeight="false" outlineLevel="0" collapsed="false">
      <c r="A38" s="0" t="s">
        <v>70</v>
      </c>
      <c r="B38" s="0" t="s">
        <v>71</v>
      </c>
      <c r="C38" s="6"/>
      <c r="D38" s="6"/>
      <c r="E38" s="6"/>
      <c r="F38" s="6"/>
      <c r="G38" s="0" t="s">
        <v>66</v>
      </c>
      <c r="H38" s="7" t="n">
        <f aca="false">C38</f>
        <v>0</v>
      </c>
      <c r="I38" s="7" t="n">
        <f aca="false">D38</f>
        <v>0</v>
      </c>
      <c r="J38" s="7" t="n">
        <f aca="false">IF($F$2=$J$3,F38,0)</f>
        <v>0</v>
      </c>
    </row>
    <row r="39" customFormat="false" ht="12.8" hidden="false" customHeight="false" outlineLevel="0" collapsed="false">
      <c r="A39" s="0" t="s">
        <v>70</v>
      </c>
      <c r="B39" s="0" t="s">
        <v>72</v>
      </c>
      <c r="C39" s="6"/>
      <c r="D39" s="6"/>
      <c r="E39" s="6"/>
      <c r="F39" s="6"/>
      <c r="G39" s="0" t="s">
        <v>66</v>
      </c>
      <c r="H39" s="7" t="n">
        <f aca="false">C39</f>
        <v>0</v>
      </c>
      <c r="I39" s="7" t="n">
        <f aca="false">D39</f>
        <v>0</v>
      </c>
      <c r="J39" s="7" t="n">
        <f aca="false">IF($F$2=$J$3,F39,0)</f>
        <v>0</v>
      </c>
    </row>
    <row r="40" customFormat="false" ht="12.8" hidden="false" customHeight="false" outlineLevel="0" collapsed="false">
      <c r="A40" s="0" t="s">
        <v>70</v>
      </c>
      <c r="B40" s="0" t="s">
        <v>73</v>
      </c>
      <c r="C40" s="6"/>
      <c r="D40" s="6"/>
      <c r="E40" s="6"/>
      <c r="F40" s="6"/>
      <c r="G40" s="0" t="s">
        <v>66</v>
      </c>
      <c r="H40" s="7" t="n">
        <f aca="false">C40</f>
        <v>0</v>
      </c>
      <c r="I40" s="7" t="n">
        <f aca="false">D40</f>
        <v>0</v>
      </c>
      <c r="J40" s="7" t="n">
        <f aca="false">IF($F$2=$J$3,F40,0)</f>
        <v>0</v>
      </c>
    </row>
    <row r="41" customFormat="false" ht="12.8" hidden="false" customHeight="false" outlineLevel="0" collapsed="false">
      <c r="A41" s="0" t="s">
        <v>70</v>
      </c>
      <c r="B41" s="0" t="s">
        <v>74</v>
      </c>
      <c r="C41" s="6"/>
      <c r="D41" s="6"/>
      <c r="E41" s="6"/>
      <c r="F41" s="6"/>
      <c r="G41" s="0" t="s">
        <v>66</v>
      </c>
      <c r="H41" s="7" t="n">
        <f aca="false">C41</f>
        <v>0</v>
      </c>
      <c r="I41" s="7" t="n">
        <f aca="false">D41</f>
        <v>0</v>
      </c>
      <c r="J41" s="7" t="n">
        <f aca="false">IF($F$2=$J$3,F41,0)</f>
        <v>0</v>
      </c>
    </row>
    <row r="42" customFormat="false" ht="12.8" hidden="false" customHeight="false" outlineLevel="0" collapsed="false">
      <c r="A42" s="0" t="s">
        <v>75</v>
      </c>
      <c r="B42" s="0" t="s">
        <v>76</v>
      </c>
      <c r="C42" s="6"/>
      <c r="D42" s="6"/>
      <c r="E42" s="6"/>
      <c r="F42" s="6"/>
      <c r="G42" s="0" t="s">
        <v>69</v>
      </c>
      <c r="H42" s="7" t="n">
        <f aca="false">C42</f>
        <v>0</v>
      </c>
      <c r="I42" s="7" t="n">
        <f aca="false">D42</f>
        <v>0</v>
      </c>
      <c r="J42" s="7" t="n">
        <f aca="false">IF($F$2=$J$3,F42,0)</f>
        <v>0</v>
      </c>
    </row>
    <row r="43" customFormat="false" ht="12.8" hidden="false" customHeight="false" outlineLevel="0" collapsed="false">
      <c r="A43" s="0" t="s">
        <v>77</v>
      </c>
      <c r="B43" s="0" t="s">
        <v>78</v>
      </c>
      <c r="C43" s="6"/>
      <c r="D43" s="6"/>
      <c r="E43" s="6"/>
      <c r="F43" s="6"/>
      <c r="G43" s="0" t="s">
        <v>44</v>
      </c>
      <c r="H43" s="7" t="n">
        <f aca="false">C43</f>
        <v>0</v>
      </c>
      <c r="I43" s="7" t="n">
        <f aca="false">D43</f>
        <v>0</v>
      </c>
      <c r="J43" s="7" t="n">
        <f aca="false">IF($F$2=$J$3,F43,0)</f>
        <v>0</v>
      </c>
    </row>
    <row r="44" customFormat="false" ht="12.8" hidden="false" customHeight="false" outlineLevel="0" collapsed="false">
      <c r="A44" s="0" t="s">
        <v>79</v>
      </c>
      <c r="B44" s="0" t="s">
        <v>80</v>
      </c>
      <c r="C44" s="6"/>
      <c r="D44" s="6"/>
      <c r="E44" s="6"/>
      <c r="F44" s="6"/>
      <c r="G44" s="0" t="s">
        <v>44</v>
      </c>
      <c r="H44" s="7" t="n">
        <f aca="false">C44</f>
        <v>0</v>
      </c>
      <c r="I44" s="7" t="n">
        <f aca="false">D44</f>
        <v>0</v>
      </c>
      <c r="J44" s="7" t="n">
        <f aca="false">IF($F$2=$J$3,F44,0)</f>
        <v>0</v>
      </c>
    </row>
    <row r="45" customFormat="false" ht="12.8" hidden="false" customHeight="false" outlineLevel="0" collapsed="false">
      <c r="A45" s="0" t="s">
        <v>81</v>
      </c>
      <c r="B45" s="0" t="s">
        <v>82</v>
      </c>
      <c r="C45" s="6"/>
      <c r="D45" s="6"/>
      <c r="E45" s="6"/>
      <c r="F45" s="6"/>
      <c r="G45" s="0" t="s">
        <v>66</v>
      </c>
      <c r="H45" s="7" t="n">
        <f aca="false">C45</f>
        <v>0</v>
      </c>
      <c r="I45" s="7" t="n">
        <f aca="false">D45</f>
        <v>0</v>
      </c>
      <c r="J45" s="7" t="n">
        <f aca="false">IF($F$2=$J$3,F45,0)</f>
        <v>0</v>
      </c>
    </row>
    <row r="46" customFormat="false" ht="12.8" hidden="false" customHeight="false" outlineLevel="0" collapsed="false">
      <c r="A46" s="0" t="s">
        <v>83</v>
      </c>
      <c r="B46" s="0" t="s">
        <v>84</v>
      </c>
      <c r="C46" s="6"/>
      <c r="D46" s="6"/>
      <c r="E46" s="6"/>
      <c r="F46" s="6"/>
      <c r="G46" s="0" t="s">
        <v>66</v>
      </c>
      <c r="H46" s="7" t="n">
        <f aca="false">C46</f>
        <v>0</v>
      </c>
      <c r="I46" s="7" t="n">
        <f aca="false">D46</f>
        <v>0</v>
      </c>
      <c r="J46" s="7" t="n">
        <f aca="false">IF($F$2=$J$3,F46,0)</f>
        <v>0</v>
      </c>
    </row>
    <row r="47" customFormat="false" ht="12.8" hidden="false" customHeight="false" outlineLevel="0" collapsed="false">
      <c r="A47" s="0" t="s">
        <v>77</v>
      </c>
      <c r="B47" s="0" t="s">
        <v>85</v>
      </c>
      <c r="C47" s="6"/>
      <c r="D47" s="6"/>
      <c r="E47" s="6"/>
      <c r="F47" s="6"/>
      <c r="G47" s="0" t="s">
        <v>44</v>
      </c>
      <c r="H47" s="7" t="n">
        <f aca="false">C47</f>
        <v>0</v>
      </c>
      <c r="I47" s="7" t="n">
        <f aca="false">D47</f>
        <v>0</v>
      </c>
      <c r="J47" s="7" t="n">
        <f aca="false">IF($F$2=$J$3,F47,0)</f>
        <v>0</v>
      </c>
    </row>
    <row r="48" customFormat="false" ht="12.8" hidden="false" customHeight="false" outlineLevel="0" collapsed="false">
      <c r="A48" s="0" t="s">
        <v>79</v>
      </c>
      <c r="B48" s="0" t="s">
        <v>86</v>
      </c>
      <c r="C48" s="6"/>
      <c r="D48" s="6"/>
      <c r="E48" s="6"/>
      <c r="F48" s="6"/>
      <c r="G48" s="0" t="s">
        <v>44</v>
      </c>
      <c r="H48" s="7" t="n">
        <f aca="false">C48</f>
        <v>0</v>
      </c>
      <c r="I48" s="7" t="n">
        <f aca="false">D48</f>
        <v>0</v>
      </c>
      <c r="J48" s="7" t="n">
        <f aca="false">IF($F$2=$J$3,F48,0)</f>
        <v>0</v>
      </c>
    </row>
    <row r="49" customFormat="false" ht="12.8" hidden="false" customHeight="false" outlineLevel="0" collapsed="false">
      <c r="A49" s="0" t="s">
        <v>81</v>
      </c>
      <c r="B49" s="0" t="s">
        <v>87</v>
      </c>
      <c r="C49" s="6"/>
      <c r="D49" s="6"/>
      <c r="E49" s="6"/>
      <c r="F49" s="6"/>
      <c r="G49" s="0" t="s">
        <v>66</v>
      </c>
      <c r="H49" s="7" t="n">
        <f aca="false">C49</f>
        <v>0</v>
      </c>
      <c r="I49" s="7" t="n">
        <f aca="false">D49</f>
        <v>0</v>
      </c>
      <c r="J49" s="7" t="n">
        <f aca="false">IF($F$2=$J$3,F49,0)</f>
        <v>0</v>
      </c>
    </row>
    <row r="50" customFormat="false" ht="12.8" hidden="false" customHeight="false" outlineLevel="0" collapsed="false">
      <c r="A50" s="0" t="s">
        <v>83</v>
      </c>
      <c r="B50" s="0" t="s">
        <v>88</v>
      </c>
      <c r="C50" s="6"/>
      <c r="D50" s="6"/>
      <c r="E50" s="6"/>
      <c r="F50" s="6"/>
      <c r="G50" s="0" t="s">
        <v>66</v>
      </c>
      <c r="H50" s="7" t="n">
        <f aca="false">C50</f>
        <v>0</v>
      </c>
      <c r="I50" s="7" t="n">
        <f aca="false">D50</f>
        <v>0</v>
      </c>
      <c r="J50" s="7" t="n">
        <f aca="false">IF($F$2=$J$3,F50,0)</f>
        <v>0</v>
      </c>
    </row>
    <row r="51" customFormat="false" ht="12.8" hidden="false" customHeight="false" outlineLevel="0" collapsed="false">
      <c r="A51" s="0" t="s">
        <v>77</v>
      </c>
      <c r="B51" s="0" t="s">
        <v>89</v>
      </c>
      <c r="C51" s="6"/>
      <c r="D51" s="6"/>
      <c r="E51" s="6"/>
      <c r="F51" s="6"/>
      <c r="G51" s="0" t="s">
        <v>44</v>
      </c>
      <c r="H51" s="7" t="n">
        <f aca="false">C51</f>
        <v>0</v>
      </c>
      <c r="I51" s="7" t="n">
        <f aca="false">D51</f>
        <v>0</v>
      </c>
      <c r="J51" s="7" t="n">
        <f aca="false">IF($F$2=$J$3,F51,0)</f>
        <v>0</v>
      </c>
    </row>
    <row r="52" customFormat="false" ht="12.8" hidden="false" customHeight="false" outlineLevel="0" collapsed="false">
      <c r="A52" s="0" t="s">
        <v>79</v>
      </c>
      <c r="B52" s="0" t="s">
        <v>90</v>
      </c>
      <c r="C52" s="6"/>
      <c r="D52" s="6"/>
      <c r="E52" s="6"/>
      <c r="F52" s="6"/>
      <c r="G52" s="0" t="s">
        <v>44</v>
      </c>
      <c r="H52" s="7" t="n">
        <f aca="false">C52</f>
        <v>0</v>
      </c>
      <c r="I52" s="7" t="n">
        <f aca="false">D52</f>
        <v>0</v>
      </c>
      <c r="J52" s="7" t="n">
        <f aca="false">IF($F$2=$J$3,F52,0)</f>
        <v>0</v>
      </c>
    </row>
    <row r="53" customFormat="false" ht="12.8" hidden="false" customHeight="false" outlineLevel="0" collapsed="false">
      <c r="A53" s="0" t="s">
        <v>81</v>
      </c>
      <c r="B53" s="0" t="s">
        <v>91</v>
      </c>
      <c r="C53" s="6"/>
      <c r="D53" s="6"/>
      <c r="E53" s="6"/>
      <c r="F53" s="6"/>
      <c r="G53" s="0" t="s">
        <v>66</v>
      </c>
      <c r="H53" s="7" t="n">
        <f aca="false">C53</f>
        <v>0</v>
      </c>
      <c r="I53" s="7" t="n">
        <f aca="false">D53</f>
        <v>0</v>
      </c>
      <c r="J53" s="7" t="n">
        <f aca="false">IF($F$2=$J$3,F53,0)</f>
        <v>0</v>
      </c>
    </row>
    <row r="54" customFormat="false" ht="12.8" hidden="false" customHeight="false" outlineLevel="0" collapsed="false">
      <c r="A54" s="0" t="s">
        <v>83</v>
      </c>
      <c r="B54" s="0" t="s">
        <v>92</v>
      </c>
      <c r="C54" s="6"/>
      <c r="D54" s="6"/>
      <c r="E54" s="6"/>
      <c r="F54" s="6"/>
      <c r="G54" s="0" t="s">
        <v>66</v>
      </c>
      <c r="H54" s="7" t="n">
        <f aca="false">C54</f>
        <v>0</v>
      </c>
      <c r="I54" s="7" t="n">
        <f aca="false">D54</f>
        <v>0</v>
      </c>
      <c r="J54" s="7" t="n">
        <f aca="false">IF($F$2=$J$3,F54,0)</f>
        <v>0</v>
      </c>
    </row>
    <row r="55" customFormat="false" ht="12.8" hidden="false" customHeight="false" outlineLevel="0" collapsed="false">
      <c r="A55" s="0" t="s">
        <v>77</v>
      </c>
      <c r="B55" s="0" t="s">
        <v>93</v>
      </c>
      <c r="C55" s="6"/>
      <c r="D55" s="6"/>
      <c r="E55" s="6"/>
      <c r="F55" s="6"/>
      <c r="G55" s="0" t="s">
        <v>44</v>
      </c>
      <c r="H55" s="7" t="n">
        <f aca="false">C55</f>
        <v>0</v>
      </c>
      <c r="I55" s="7" t="n">
        <f aca="false">D55</f>
        <v>0</v>
      </c>
      <c r="J55" s="7" t="n">
        <f aca="false">IF($F$2=$J$3,F55,0)</f>
        <v>0</v>
      </c>
    </row>
    <row r="56" customFormat="false" ht="12.8" hidden="false" customHeight="false" outlineLevel="0" collapsed="false">
      <c r="A56" s="0" t="s">
        <v>79</v>
      </c>
      <c r="B56" s="0" t="s">
        <v>94</v>
      </c>
      <c r="C56" s="6"/>
      <c r="D56" s="6"/>
      <c r="E56" s="6"/>
      <c r="F56" s="6"/>
      <c r="G56" s="0" t="s">
        <v>44</v>
      </c>
      <c r="H56" s="7" t="n">
        <f aca="false">C56</f>
        <v>0</v>
      </c>
      <c r="I56" s="7" t="n">
        <f aca="false">D56</f>
        <v>0</v>
      </c>
      <c r="J56" s="7" t="n">
        <f aca="false">IF($F$2=$J$3,F56,0)</f>
        <v>0</v>
      </c>
    </row>
    <row r="57" customFormat="false" ht="12.8" hidden="false" customHeight="false" outlineLevel="0" collapsed="false">
      <c r="A57" s="0" t="s">
        <v>81</v>
      </c>
      <c r="B57" s="0" t="s">
        <v>95</v>
      </c>
      <c r="C57" s="6"/>
      <c r="D57" s="6"/>
      <c r="E57" s="6"/>
      <c r="F57" s="6"/>
      <c r="G57" s="0" t="s">
        <v>66</v>
      </c>
      <c r="H57" s="7" t="n">
        <f aca="false">C57</f>
        <v>0</v>
      </c>
      <c r="I57" s="7" t="n">
        <f aca="false">D57</f>
        <v>0</v>
      </c>
      <c r="J57" s="7" t="n">
        <f aca="false">IF($F$2=$J$3,F57,0)</f>
        <v>0</v>
      </c>
    </row>
    <row r="58" customFormat="false" ht="12.8" hidden="false" customHeight="false" outlineLevel="0" collapsed="false">
      <c r="A58" s="0" t="s">
        <v>83</v>
      </c>
      <c r="B58" s="0" t="s">
        <v>96</v>
      </c>
      <c r="C58" s="6"/>
      <c r="D58" s="6"/>
      <c r="E58" s="6"/>
      <c r="F58" s="6"/>
      <c r="G58" s="0" t="s">
        <v>66</v>
      </c>
      <c r="H58" s="7" t="n">
        <f aca="false">C58</f>
        <v>0</v>
      </c>
      <c r="I58" s="7" t="n">
        <f aca="false">D58</f>
        <v>0</v>
      </c>
      <c r="J58" s="7" t="n">
        <f aca="false">IF($F$2=$J$3,F58,0)</f>
        <v>0</v>
      </c>
    </row>
    <row r="59" customFormat="false" ht="12.8" hidden="false" customHeight="false" outlineLevel="0" collapsed="false">
      <c r="A59" s="0" t="s">
        <v>97</v>
      </c>
      <c r="B59" s="0" t="s">
        <v>98</v>
      </c>
      <c r="C59" s="6"/>
      <c r="D59" s="6"/>
      <c r="E59" s="6"/>
      <c r="F59" s="6"/>
      <c r="G59" s="0" t="s">
        <v>99</v>
      </c>
      <c r="H59" s="7" t="n">
        <f aca="false">C59</f>
        <v>0</v>
      </c>
      <c r="I59" s="7" t="n">
        <f aca="false">D59</f>
        <v>0</v>
      </c>
      <c r="J59" s="7" t="n">
        <f aca="false">IF($F$2=$J$3,F59,0)</f>
        <v>0</v>
      </c>
    </row>
    <row r="60" customFormat="false" ht="12.8" hidden="false" customHeight="false" outlineLevel="0" collapsed="false">
      <c r="A60" s="0" t="s">
        <v>100</v>
      </c>
      <c r="B60" s="0" t="s">
        <v>101</v>
      </c>
      <c r="C60" s="6"/>
      <c r="D60" s="6"/>
      <c r="E60" s="6"/>
      <c r="F60" s="6"/>
      <c r="G60" s="0" t="s">
        <v>99</v>
      </c>
      <c r="H60" s="7" t="n">
        <f aca="false">C60</f>
        <v>0</v>
      </c>
      <c r="I60" s="7" t="n">
        <f aca="false">D60</f>
        <v>0</v>
      </c>
      <c r="J60" s="7" t="n">
        <f aca="false">IF($F$2=$J$3,F60,0)</f>
        <v>0</v>
      </c>
    </row>
    <row r="61" customFormat="false" ht="12.8" hidden="false" customHeight="false" outlineLevel="0" collapsed="false">
      <c r="A61" s="0" t="s">
        <v>102</v>
      </c>
      <c r="B61" s="0" t="s">
        <v>103</v>
      </c>
      <c r="C61" s="6"/>
      <c r="D61" s="6"/>
      <c r="E61" s="6"/>
      <c r="F61" s="6"/>
      <c r="G61" s="0" t="s">
        <v>69</v>
      </c>
      <c r="H61" s="7" t="n">
        <f aca="false">C61</f>
        <v>0</v>
      </c>
      <c r="I61" s="7" t="n">
        <f aca="false">D61</f>
        <v>0</v>
      </c>
      <c r="J61" s="7" t="n">
        <f aca="false">IF($F$2=$J$3,F61,0)</f>
        <v>0</v>
      </c>
    </row>
    <row r="62" customFormat="false" ht="12.8" hidden="false" customHeight="false" outlineLevel="0" collapsed="false">
      <c r="A62" s="0" t="s">
        <v>104</v>
      </c>
      <c r="B62" s="0" t="s">
        <v>105</v>
      </c>
      <c r="C62" s="6"/>
      <c r="D62" s="6"/>
      <c r="E62" s="6"/>
      <c r="F62" s="6"/>
      <c r="G62" s="0" t="s">
        <v>69</v>
      </c>
      <c r="H62" s="7" t="n">
        <f aca="false">C62</f>
        <v>0</v>
      </c>
      <c r="I62" s="7" t="n">
        <f aca="false">D62</f>
        <v>0</v>
      </c>
      <c r="J62" s="7" t="n">
        <f aca="false">IF($F$2=$J$3,F62,0)</f>
        <v>0</v>
      </c>
    </row>
    <row r="63" customFormat="false" ht="12.8" hidden="false" customHeight="false" outlineLevel="0" collapsed="false">
      <c r="A63" s="0" t="s">
        <v>106</v>
      </c>
      <c r="B63" s="0" t="s">
        <v>107</v>
      </c>
      <c r="C63" s="6"/>
      <c r="D63" s="6"/>
      <c r="E63" s="6"/>
      <c r="F63" s="6"/>
      <c r="G63" s="0" t="s">
        <v>44</v>
      </c>
      <c r="H63" s="7" t="n">
        <f aca="false">C63*-1</f>
        <v>-0</v>
      </c>
      <c r="I63" s="7" t="n">
        <f aca="false">D63*-1</f>
        <v>-0</v>
      </c>
      <c r="J63" s="7" t="n">
        <f aca="false">IF($F$2=$J$3,F63,0)*-1</f>
        <v>-0</v>
      </c>
    </row>
    <row r="64" customFormat="false" ht="12.8" hidden="false" customHeight="false" outlineLevel="0" collapsed="false">
      <c r="A64" s="0" t="s">
        <v>108</v>
      </c>
      <c r="B64" s="0" t="s">
        <v>109</v>
      </c>
      <c r="C64" s="6"/>
      <c r="D64" s="6"/>
      <c r="E64" s="6"/>
      <c r="F64" s="6"/>
      <c r="G64" s="0" t="s">
        <v>66</v>
      </c>
      <c r="H64" s="7" t="n">
        <f aca="false">C64*-1</f>
        <v>-0</v>
      </c>
      <c r="I64" s="7" t="n">
        <f aca="false">D64*-1</f>
        <v>-0</v>
      </c>
      <c r="J64" s="7" t="n">
        <f aca="false">IF($F$2=$J$3,F64,0)*-1</f>
        <v>-0</v>
      </c>
    </row>
    <row r="65" customFormat="false" ht="12.8" hidden="false" customHeight="false" outlineLevel="0" collapsed="false">
      <c r="A65" s="0" t="s">
        <v>106</v>
      </c>
      <c r="B65" s="0" t="s">
        <v>110</v>
      </c>
      <c r="C65" s="6"/>
      <c r="D65" s="6"/>
      <c r="E65" s="6"/>
      <c r="F65" s="6"/>
      <c r="G65" s="0" t="s">
        <v>44</v>
      </c>
      <c r="H65" s="7" t="n">
        <f aca="false">C65*-1</f>
        <v>-0</v>
      </c>
      <c r="I65" s="7" t="n">
        <f aca="false">D65*-1</f>
        <v>-0</v>
      </c>
      <c r="J65" s="7" t="n">
        <f aca="false">IF($F$2=$J$3,F65,0)*-1</f>
        <v>-0</v>
      </c>
    </row>
    <row r="66" customFormat="false" ht="12.8" hidden="false" customHeight="false" outlineLevel="0" collapsed="false">
      <c r="A66" s="0" t="s">
        <v>108</v>
      </c>
      <c r="B66" s="0" t="s">
        <v>111</v>
      </c>
      <c r="C66" s="6"/>
      <c r="D66" s="6"/>
      <c r="E66" s="6"/>
      <c r="F66" s="6"/>
      <c r="G66" s="0" t="s">
        <v>66</v>
      </c>
      <c r="H66" s="7" t="n">
        <f aca="false">C66*-1</f>
        <v>-0</v>
      </c>
      <c r="I66" s="7" t="n">
        <f aca="false">D66*-1</f>
        <v>-0</v>
      </c>
      <c r="J66" s="7" t="n">
        <f aca="false">IF($F$2=$J$3,F66,0)*-1</f>
        <v>-0</v>
      </c>
    </row>
    <row r="67" customFormat="false" ht="12.8" hidden="false" customHeight="false" outlineLevel="0" collapsed="false">
      <c r="A67" s="0" t="s">
        <v>106</v>
      </c>
      <c r="B67" s="0" t="s">
        <v>112</v>
      </c>
      <c r="C67" s="6"/>
      <c r="D67" s="6"/>
      <c r="E67" s="6"/>
      <c r="F67" s="6"/>
      <c r="G67" s="0" t="s">
        <v>44</v>
      </c>
      <c r="H67" s="7" t="n">
        <f aca="false">C67*-1</f>
        <v>-0</v>
      </c>
      <c r="I67" s="7" t="n">
        <f aca="false">D67*-1</f>
        <v>-0</v>
      </c>
      <c r="J67" s="7" t="n">
        <f aca="false">IF($F$2=$J$3,F67,0)*-1</f>
        <v>-0</v>
      </c>
    </row>
    <row r="68" customFormat="false" ht="12.8" hidden="false" customHeight="false" outlineLevel="0" collapsed="false">
      <c r="A68" s="0" t="s">
        <v>108</v>
      </c>
      <c r="B68" s="0" t="s">
        <v>113</v>
      </c>
      <c r="C68" s="6"/>
      <c r="D68" s="6"/>
      <c r="E68" s="6"/>
      <c r="F68" s="6"/>
      <c r="G68" s="0" t="s">
        <v>66</v>
      </c>
      <c r="H68" s="7" t="n">
        <f aca="false">C68*-1</f>
        <v>-0</v>
      </c>
      <c r="I68" s="7" t="n">
        <f aca="false">D68*-1</f>
        <v>-0</v>
      </c>
      <c r="J68" s="7" t="n">
        <f aca="false">IF($F$2=$J$3,F68,0)*-1</f>
        <v>-0</v>
      </c>
    </row>
    <row r="69" customFormat="false" ht="12.8" hidden="false" customHeight="false" outlineLevel="0" collapsed="false">
      <c r="A69" s="0" t="s">
        <v>114</v>
      </c>
      <c r="B69" s="0" t="s">
        <v>115</v>
      </c>
      <c r="C69" s="6"/>
      <c r="D69" s="6"/>
      <c r="E69" s="6"/>
      <c r="F69" s="6"/>
      <c r="G69" s="0" t="s">
        <v>44</v>
      </c>
      <c r="H69" s="7" t="n">
        <f aca="false">C69*-1</f>
        <v>-0</v>
      </c>
      <c r="I69" s="7" t="n">
        <f aca="false">D69*-1</f>
        <v>-0</v>
      </c>
      <c r="J69" s="7" t="n">
        <f aca="false">IF($F$2=$J$3,F69,0)*-1</f>
        <v>-0</v>
      </c>
    </row>
    <row r="70" customFormat="false" ht="12.8" hidden="false" customHeight="false" outlineLevel="0" collapsed="false">
      <c r="A70" s="0" t="s">
        <v>116</v>
      </c>
      <c r="B70" s="0" t="s">
        <v>117</v>
      </c>
      <c r="C70" s="6"/>
      <c r="D70" s="6"/>
      <c r="E70" s="6"/>
      <c r="F70" s="6"/>
      <c r="G70" s="0" t="s">
        <v>66</v>
      </c>
      <c r="H70" s="7" t="n">
        <f aca="false">C70*-1</f>
        <v>-0</v>
      </c>
      <c r="I70" s="7" t="n">
        <f aca="false">D70*-1</f>
        <v>-0</v>
      </c>
      <c r="J70" s="7" t="n">
        <f aca="false">IF($F$2=$J$3,F70,0)*-1</f>
        <v>-0</v>
      </c>
    </row>
    <row r="71" customFormat="false" ht="12.8" hidden="false" customHeight="false" outlineLevel="0" collapsed="false">
      <c r="A71" s="0" t="s">
        <v>118</v>
      </c>
      <c r="B71" s="0" t="s">
        <v>119</v>
      </c>
      <c r="C71" s="6"/>
      <c r="D71" s="6"/>
      <c r="E71" s="6"/>
      <c r="F71" s="6"/>
      <c r="G71" s="0" t="s">
        <v>120</v>
      </c>
      <c r="H71" s="7" t="n">
        <f aca="false">C71</f>
        <v>0</v>
      </c>
      <c r="I71" s="7" t="n">
        <f aca="false">D71</f>
        <v>0</v>
      </c>
      <c r="J71" s="7" t="n">
        <f aca="false">IF($F$2=$J$3,F71,0)</f>
        <v>0</v>
      </c>
    </row>
    <row r="72" customFormat="false" ht="12.8" hidden="false" customHeight="false" outlineLevel="0" collapsed="false">
      <c r="A72" s="0" t="s">
        <v>121</v>
      </c>
      <c r="B72" s="0" t="s">
        <v>122</v>
      </c>
      <c r="C72" s="6"/>
      <c r="D72" s="6"/>
      <c r="E72" s="6"/>
      <c r="F72" s="6"/>
      <c r="G72" s="0" t="s">
        <v>120</v>
      </c>
      <c r="H72" s="7" t="n">
        <f aca="false">C72</f>
        <v>0</v>
      </c>
      <c r="I72" s="7" t="n">
        <f aca="false">D72</f>
        <v>0</v>
      </c>
      <c r="J72" s="7" t="n">
        <f aca="false">IF($F$2=$J$3,F72,0)</f>
        <v>0</v>
      </c>
    </row>
    <row r="73" customFormat="false" ht="12.8" hidden="false" customHeight="false" outlineLevel="0" collapsed="false">
      <c r="A73" s="0" t="s">
        <v>123</v>
      </c>
      <c r="B73" s="0" t="s">
        <v>124</v>
      </c>
      <c r="C73" s="6"/>
      <c r="D73" s="6"/>
      <c r="E73" s="6"/>
      <c r="F73" s="6"/>
      <c r="G73" s="0" t="s">
        <v>120</v>
      </c>
      <c r="H73" s="7" t="n">
        <f aca="false">C73</f>
        <v>0</v>
      </c>
      <c r="I73" s="7" t="n">
        <f aca="false">D73</f>
        <v>0</v>
      </c>
      <c r="J73" s="7" t="n">
        <f aca="false">IF($F$2=$J$3,F73,0)</f>
        <v>0</v>
      </c>
    </row>
    <row r="74" customFormat="false" ht="12.8" hidden="false" customHeight="false" outlineLevel="0" collapsed="false">
      <c r="A74" s="0" t="s">
        <v>125</v>
      </c>
      <c r="B74" s="0" t="s">
        <v>126</v>
      </c>
      <c r="C74" s="6"/>
      <c r="D74" s="6"/>
      <c r="E74" s="6"/>
      <c r="F74" s="6"/>
      <c r="G74" s="0" t="s">
        <v>120</v>
      </c>
      <c r="H74" s="7" t="n">
        <f aca="false">C74</f>
        <v>0</v>
      </c>
      <c r="I74" s="7" t="n">
        <f aca="false">D74</f>
        <v>0</v>
      </c>
      <c r="J74" s="7" t="n">
        <f aca="false">IF($F$2=$J$3,F74,0)</f>
        <v>0</v>
      </c>
    </row>
    <row r="75" customFormat="false" ht="12.8" hidden="false" customHeight="false" outlineLevel="0" collapsed="false">
      <c r="A75" s="0" t="s">
        <v>127</v>
      </c>
      <c r="B75" s="0" t="s">
        <v>128</v>
      </c>
      <c r="C75" s="6"/>
      <c r="D75" s="6"/>
      <c r="E75" s="6"/>
      <c r="F75" s="6"/>
      <c r="G75" s="0" t="s">
        <v>12</v>
      </c>
      <c r="H75" s="7" t="n">
        <f aca="false">C75</f>
        <v>0</v>
      </c>
      <c r="I75" s="7" t="n">
        <f aca="false">D75</f>
        <v>0</v>
      </c>
      <c r="J75" s="7" t="n">
        <f aca="false">IF($F$2=$J$3,F75,0)</f>
        <v>0</v>
      </c>
    </row>
    <row r="76" customFormat="false" ht="12.8" hidden="false" customHeight="false" outlineLevel="0" collapsed="false">
      <c r="A76" s="0" t="s">
        <v>129</v>
      </c>
      <c r="B76" s="0" t="s">
        <v>130</v>
      </c>
      <c r="C76" s="6"/>
      <c r="D76" s="6"/>
      <c r="E76" s="6"/>
      <c r="F76" s="6"/>
      <c r="G76" s="0" t="s">
        <v>12</v>
      </c>
      <c r="H76" s="7" t="n">
        <f aca="false">C76</f>
        <v>0</v>
      </c>
      <c r="I76" s="7" t="n">
        <f aca="false">D76</f>
        <v>0</v>
      </c>
      <c r="J76" s="7" t="n">
        <f aca="false">IF($F$2=$J$3,F76,0)</f>
        <v>0</v>
      </c>
    </row>
    <row r="77" customFormat="false" ht="12.8" hidden="false" customHeight="false" outlineLevel="0" collapsed="false">
      <c r="A77" s="0" t="s">
        <v>131</v>
      </c>
      <c r="B77" s="0" t="s">
        <v>132</v>
      </c>
      <c r="C77" s="6"/>
      <c r="D77" s="6"/>
      <c r="E77" s="6"/>
      <c r="F77" s="6"/>
      <c r="G77" s="0" t="s">
        <v>12</v>
      </c>
      <c r="H77" s="7" t="n">
        <f aca="false">C77</f>
        <v>0</v>
      </c>
      <c r="I77" s="7" t="n">
        <f aca="false">D77</f>
        <v>0</v>
      </c>
      <c r="J77" s="7" t="n">
        <f aca="false">IF($F$2=$J$3,F77,0)</f>
        <v>0</v>
      </c>
    </row>
    <row r="78" customFormat="false" ht="12.8" hidden="false" customHeight="false" outlineLevel="0" collapsed="false">
      <c r="A78" s="0" t="s">
        <v>133</v>
      </c>
      <c r="B78" s="0" t="s">
        <v>134</v>
      </c>
      <c r="C78" s="6"/>
      <c r="D78" s="6"/>
      <c r="E78" s="6"/>
      <c r="F78" s="6"/>
      <c r="G78" s="0" t="s">
        <v>12</v>
      </c>
      <c r="H78" s="7" t="n">
        <f aca="false">C78</f>
        <v>0</v>
      </c>
      <c r="I78" s="7" t="n">
        <f aca="false">D78</f>
        <v>0</v>
      </c>
      <c r="J78" s="7" t="n">
        <f aca="false">IF($F$2=$J$3,F78,0)</f>
        <v>0</v>
      </c>
    </row>
    <row r="79" customFormat="false" ht="12.8" hidden="false" customHeight="false" outlineLevel="0" collapsed="false">
      <c r="A79" s="0" t="s">
        <v>118</v>
      </c>
      <c r="B79" s="0" t="s">
        <v>135</v>
      </c>
      <c r="C79" s="6"/>
      <c r="D79" s="6"/>
      <c r="E79" s="6"/>
      <c r="F79" s="6"/>
      <c r="G79" s="0" t="s">
        <v>120</v>
      </c>
      <c r="H79" s="7" t="n">
        <f aca="false">C79</f>
        <v>0</v>
      </c>
      <c r="I79" s="7" t="n">
        <f aca="false">D79</f>
        <v>0</v>
      </c>
      <c r="J79" s="7" t="n">
        <f aca="false">IF($F$2=$J$3,F79,0)</f>
        <v>0</v>
      </c>
    </row>
    <row r="80" customFormat="false" ht="12.8" hidden="false" customHeight="false" outlineLevel="0" collapsed="false">
      <c r="A80" s="0" t="s">
        <v>121</v>
      </c>
      <c r="B80" s="0" t="s">
        <v>136</v>
      </c>
      <c r="C80" s="6"/>
      <c r="D80" s="6"/>
      <c r="E80" s="6"/>
      <c r="F80" s="6"/>
      <c r="G80" s="0" t="s">
        <v>120</v>
      </c>
      <c r="H80" s="7" t="n">
        <f aca="false">C80</f>
        <v>0</v>
      </c>
      <c r="I80" s="7" t="n">
        <f aca="false">D80</f>
        <v>0</v>
      </c>
      <c r="J80" s="7" t="n">
        <f aca="false">IF($F$2=$J$3,F80,0)</f>
        <v>0</v>
      </c>
    </row>
    <row r="81" customFormat="false" ht="12.8" hidden="false" customHeight="false" outlineLevel="0" collapsed="false">
      <c r="A81" s="0" t="s">
        <v>123</v>
      </c>
      <c r="B81" s="0" t="s">
        <v>137</v>
      </c>
      <c r="C81" s="6"/>
      <c r="D81" s="6"/>
      <c r="E81" s="6"/>
      <c r="F81" s="6"/>
      <c r="G81" s="0" t="s">
        <v>120</v>
      </c>
      <c r="H81" s="7" t="n">
        <f aca="false">C81</f>
        <v>0</v>
      </c>
      <c r="I81" s="7" t="n">
        <f aca="false">D81</f>
        <v>0</v>
      </c>
      <c r="J81" s="7" t="n">
        <f aca="false">IF($F$2=$J$3,F81,0)</f>
        <v>0</v>
      </c>
    </row>
    <row r="82" customFormat="false" ht="12.8" hidden="false" customHeight="false" outlineLevel="0" collapsed="false">
      <c r="A82" s="0" t="s">
        <v>125</v>
      </c>
      <c r="B82" s="0" t="s">
        <v>138</v>
      </c>
      <c r="C82" s="6"/>
      <c r="D82" s="6"/>
      <c r="E82" s="6"/>
      <c r="F82" s="6"/>
      <c r="G82" s="0" t="s">
        <v>120</v>
      </c>
      <c r="H82" s="7" t="n">
        <f aca="false">C82</f>
        <v>0</v>
      </c>
      <c r="I82" s="7" t="n">
        <f aca="false">D82</f>
        <v>0</v>
      </c>
      <c r="J82" s="7" t="n">
        <f aca="false">IF($F$2=$J$3,F82,0)</f>
        <v>0</v>
      </c>
    </row>
    <row r="83" customFormat="false" ht="12.8" hidden="false" customHeight="false" outlineLevel="0" collapsed="false">
      <c r="A83" s="0" t="s">
        <v>139</v>
      </c>
      <c r="B83" s="0" t="s">
        <v>140</v>
      </c>
      <c r="C83" s="6"/>
      <c r="D83" s="6"/>
      <c r="E83" s="6"/>
      <c r="F83" s="6"/>
      <c r="G83" s="0" t="s">
        <v>141</v>
      </c>
      <c r="H83" s="7" t="n">
        <f aca="false">C83</f>
        <v>0</v>
      </c>
      <c r="I83" s="7" t="n">
        <f aca="false">D83</f>
        <v>0</v>
      </c>
      <c r="J83" s="7" t="n">
        <f aca="false">IF($F$2=$J$3,F83,0)</f>
        <v>0</v>
      </c>
    </row>
    <row r="84" customFormat="false" ht="12.8" hidden="false" customHeight="false" outlineLevel="0" collapsed="false">
      <c r="A84" s="0" t="s">
        <v>139</v>
      </c>
      <c r="B84" s="0" t="s">
        <v>142</v>
      </c>
      <c r="C84" s="6"/>
      <c r="D84" s="6"/>
      <c r="E84" s="6"/>
      <c r="F84" s="6"/>
      <c r="G84" s="0" t="s">
        <v>141</v>
      </c>
      <c r="H84" s="7" t="n">
        <f aca="false">C84</f>
        <v>0</v>
      </c>
      <c r="I84" s="7" t="n">
        <f aca="false">D84</f>
        <v>0</v>
      </c>
      <c r="J84" s="7" t="n">
        <f aca="false">IF($F$2=$J$3,F84,0)</f>
        <v>0</v>
      </c>
    </row>
    <row r="85" customFormat="false" ht="12.8" hidden="false" customHeight="false" outlineLevel="0" collapsed="false">
      <c r="A85" s="0" t="s">
        <v>139</v>
      </c>
      <c r="B85" s="0" t="s">
        <v>143</v>
      </c>
      <c r="C85" s="6"/>
      <c r="D85" s="6"/>
      <c r="E85" s="6"/>
      <c r="F85" s="6"/>
      <c r="G85" s="0" t="s">
        <v>141</v>
      </c>
      <c r="H85" s="7" t="n">
        <f aca="false">C85</f>
        <v>0</v>
      </c>
      <c r="I85" s="7" t="n">
        <f aca="false">D85</f>
        <v>0</v>
      </c>
      <c r="J85" s="7" t="n">
        <f aca="false">IF($F$2=$J$3,F85,0)</f>
        <v>0</v>
      </c>
    </row>
    <row r="86" customFormat="false" ht="12.8" hidden="false" customHeight="false" outlineLevel="0" collapsed="false">
      <c r="A86" s="0" t="s">
        <v>144</v>
      </c>
      <c r="B86" s="0" t="s">
        <v>145</v>
      </c>
      <c r="C86" s="6"/>
      <c r="D86" s="6"/>
      <c r="E86" s="6"/>
      <c r="F86" s="6"/>
      <c r="G86" s="0" t="s">
        <v>141</v>
      </c>
      <c r="H86" s="7" t="n">
        <f aca="false">C86</f>
        <v>0</v>
      </c>
      <c r="I86" s="7" t="n">
        <f aca="false">D86</f>
        <v>0</v>
      </c>
      <c r="J86" s="7" t="n">
        <f aca="false">IF($F$2=$J$3,F86,0)</f>
        <v>0</v>
      </c>
    </row>
    <row r="87" customFormat="false" ht="12.8" hidden="false" customHeight="false" outlineLevel="0" collapsed="false">
      <c r="A87" s="0" t="s">
        <v>144</v>
      </c>
      <c r="B87" s="0" t="s">
        <v>146</v>
      </c>
      <c r="C87" s="6"/>
      <c r="D87" s="6"/>
      <c r="E87" s="6"/>
      <c r="F87" s="6"/>
      <c r="G87" s="0" t="s">
        <v>141</v>
      </c>
      <c r="H87" s="7" t="n">
        <f aca="false">C87</f>
        <v>0</v>
      </c>
      <c r="I87" s="7" t="n">
        <f aca="false">D87</f>
        <v>0</v>
      </c>
      <c r="J87" s="7" t="n">
        <f aca="false">IF($F$2=$J$3,F87,0)</f>
        <v>0</v>
      </c>
    </row>
    <row r="88" customFormat="false" ht="12.8" hidden="false" customHeight="false" outlineLevel="0" collapsed="false">
      <c r="A88" s="0" t="s">
        <v>144</v>
      </c>
      <c r="B88" s="0" t="s">
        <v>147</v>
      </c>
      <c r="C88" s="6"/>
      <c r="D88" s="6"/>
      <c r="E88" s="6"/>
      <c r="F88" s="6"/>
      <c r="G88" s="0" t="s">
        <v>141</v>
      </c>
      <c r="H88" s="7" t="n">
        <f aca="false">C88</f>
        <v>0</v>
      </c>
      <c r="I88" s="7" t="n">
        <f aca="false">D88</f>
        <v>0</v>
      </c>
      <c r="J88" s="7" t="n">
        <f aca="false">IF($F$2=$J$3,F88,0)</f>
        <v>0</v>
      </c>
    </row>
    <row r="89" customFormat="false" ht="12.8" hidden="false" customHeight="false" outlineLevel="0" collapsed="false">
      <c r="A89" s="0" t="s">
        <v>148</v>
      </c>
      <c r="B89" s="0" t="s">
        <v>149</v>
      </c>
      <c r="C89" s="6"/>
      <c r="D89" s="6"/>
      <c r="E89" s="6"/>
      <c r="F89" s="6"/>
      <c r="G89" s="0" t="s">
        <v>141</v>
      </c>
      <c r="H89" s="7" t="n">
        <f aca="false">C89</f>
        <v>0</v>
      </c>
      <c r="I89" s="7" t="n">
        <f aca="false">D89</f>
        <v>0</v>
      </c>
      <c r="J89" s="7" t="n">
        <f aca="false">IF($F$2=$J$3,F89,0)</f>
        <v>0</v>
      </c>
    </row>
    <row r="90" customFormat="false" ht="12.8" hidden="false" customHeight="false" outlineLevel="0" collapsed="false">
      <c r="A90" s="0" t="s">
        <v>148</v>
      </c>
      <c r="B90" s="0" t="s">
        <v>150</v>
      </c>
      <c r="C90" s="6"/>
      <c r="D90" s="6"/>
      <c r="E90" s="6"/>
      <c r="F90" s="6"/>
      <c r="G90" s="0" t="s">
        <v>141</v>
      </c>
      <c r="H90" s="7" t="n">
        <f aca="false">C90</f>
        <v>0</v>
      </c>
      <c r="I90" s="7" t="n">
        <f aca="false">D90</f>
        <v>0</v>
      </c>
      <c r="J90" s="7" t="n">
        <f aca="false">IF($F$2=$J$3,F90,0)</f>
        <v>0</v>
      </c>
    </row>
    <row r="91" customFormat="false" ht="12.8" hidden="false" customHeight="false" outlineLevel="0" collapsed="false">
      <c r="A91" s="0" t="s">
        <v>148</v>
      </c>
      <c r="B91" s="0" t="s">
        <v>151</v>
      </c>
      <c r="C91" s="6"/>
      <c r="D91" s="6"/>
      <c r="E91" s="6"/>
      <c r="F91" s="6"/>
      <c r="G91" s="0" t="s">
        <v>141</v>
      </c>
      <c r="H91" s="7" t="n">
        <f aca="false">C91</f>
        <v>0</v>
      </c>
      <c r="I91" s="7" t="n">
        <f aca="false">D91</f>
        <v>0</v>
      </c>
      <c r="J91" s="7" t="n">
        <f aca="false">IF($F$2=$J$3,F91,0)</f>
        <v>0</v>
      </c>
    </row>
    <row r="92" customFormat="false" ht="12.8" hidden="false" customHeight="false" outlineLevel="0" collapsed="false">
      <c r="A92" s="0" t="s">
        <v>152</v>
      </c>
      <c r="B92" s="0" t="s">
        <v>153</v>
      </c>
      <c r="C92" s="6"/>
      <c r="D92" s="6"/>
      <c r="E92" s="6"/>
      <c r="F92" s="6"/>
      <c r="G92" s="0" t="s">
        <v>120</v>
      </c>
      <c r="H92" s="7" t="n">
        <f aca="false">C92</f>
        <v>0</v>
      </c>
      <c r="I92" s="7" t="n">
        <f aca="false">D92</f>
        <v>0</v>
      </c>
      <c r="J92" s="7" t="n">
        <f aca="false">IF($F$2=$J$3,F92,0)</f>
        <v>0</v>
      </c>
    </row>
    <row r="93" customFormat="false" ht="12.8" hidden="false" customHeight="false" outlineLevel="0" collapsed="false">
      <c r="A93" s="0" t="s">
        <v>154</v>
      </c>
      <c r="B93" s="0" t="s">
        <v>155</v>
      </c>
      <c r="C93" s="6"/>
      <c r="D93" s="6"/>
      <c r="E93" s="6"/>
      <c r="F93" s="6"/>
      <c r="G93" s="0" t="s">
        <v>38</v>
      </c>
      <c r="H93" s="7" t="n">
        <f aca="false">C93</f>
        <v>0</v>
      </c>
      <c r="I93" s="7" t="n">
        <f aca="false">D93</f>
        <v>0</v>
      </c>
      <c r="J93" s="7" t="n">
        <f aca="false">IF($F$2=$J$3,F93,0)</f>
        <v>0</v>
      </c>
    </row>
    <row r="94" customFormat="false" ht="12.8" hidden="false" customHeight="false" outlineLevel="0" collapsed="false">
      <c r="A94" s="0" t="s">
        <v>10</v>
      </c>
      <c r="B94" s="0" t="s">
        <v>156</v>
      </c>
      <c r="C94" s="6"/>
      <c r="D94" s="6"/>
      <c r="E94" s="6"/>
      <c r="F94" s="6"/>
      <c r="G94" s="0" t="s">
        <v>12</v>
      </c>
      <c r="H94" s="7" t="n">
        <f aca="false">C94</f>
        <v>0</v>
      </c>
      <c r="I94" s="7" t="n">
        <f aca="false">D94</f>
        <v>0</v>
      </c>
      <c r="J94" s="7" t="n">
        <f aca="false">IF($F$2=$J$3,F94,0)</f>
        <v>0</v>
      </c>
    </row>
    <row r="95" customFormat="false" ht="12.8" hidden="false" customHeight="false" outlineLevel="0" collapsed="false">
      <c r="A95" s="0" t="s">
        <v>13</v>
      </c>
      <c r="B95" s="0" t="s">
        <v>157</v>
      </c>
      <c r="C95" s="6"/>
      <c r="D95" s="6"/>
      <c r="E95" s="6"/>
      <c r="F95" s="6"/>
      <c r="G95" s="0" t="s">
        <v>12</v>
      </c>
      <c r="H95" s="7" t="n">
        <f aca="false">C95</f>
        <v>0</v>
      </c>
      <c r="I95" s="7" t="n">
        <f aca="false">D95</f>
        <v>0</v>
      </c>
      <c r="J95" s="7" t="n">
        <f aca="false">IF($F$2=$J$3,F95,0)</f>
        <v>0</v>
      </c>
    </row>
    <row r="96" customFormat="false" ht="12.8" hidden="false" customHeight="false" outlineLevel="0" collapsed="false">
      <c r="A96" s="0" t="s">
        <v>15</v>
      </c>
      <c r="B96" s="0" t="s">
        <v>158</v>
      </c>
      <c r="C96" s="6"/>
      <c r="D96" s="6"/>
      <c r="E96" s="6"/>
      <c r="F96" s="6"/>
      <c r="G96" s="0" t="s">
        <v>12</v>
      </c>
      <c r="H96" s="7" t="n">
        <f aca="false">C96</f>
        <v>0</v>
      </c>
      <c r="I96" s="7" t="n">
        <f aca="false">D96</f>
        <v>0</v>
      </c>
      <c r="J96" s="7" t="n">
        <f aca="false">IF($F$2=$J$3,F96,0)</f>
        <v>0</v>
      </c>
    </row>
    <row r="97" customFormat="false" ht="12.8" hidden="false" customHeight="false" outlineLevel="0" collapsed="false">
      <c r="A97" s="0" t="s">
        <v>17</v>
      </c>
      <c r="B97" s="0" t="s">
        <v>159</v>
      </c>
      <c r="C97" s="6"/>
      <c r="D97" s="6"/>
      <c r="E97" s="6"/>
      <c r="F97" s="6"/>
      <c r="G97" s="0" t="s">
        <v>12</v>
      </c>
      <c r="H97" s="7" t="n">
        <f aca="false">C97</f>
        <v>0</v>
      </c>
      <c r="I97" s="7" t="n">
        <f aca="false">D97</f>
        <v>0</v>
      </c>
      <c r="J97" s="7" t="n">
        <f aca="false">IF($F$2=$J$3,F97,0)</f>
        <v>0</v>
      </c>
    </row>
    <row r="98" customFormat="false" ht="12.8" hidden="false" customHeight="false" outlineLevel="0" collapsed="false">
      <c r="A98" s="0" t="s">
        <v>19</v>
      </c>
      <c r="B98" s="0" t="s">
        <v>160</v>
      </c>
      <c r="C98" s="6"/>
      <c r="D98" s="6"/>
      <c r="E98" s="6"/>
      <c r="F98" s="6"/>
      <c r="G98" s="0" t="s">
        <v>12</v>
      </c>
      <c r="H98" s="7" t="n">
        <f aca="false">C98</f>
        <v>0</v>
      </c>
      <c r="I98" s="7" t="n">
        <f aca="false">D98</f>
        <v>0</v>
      </c>
      <c r="J98" s="7" t="n">
        <f aca="false">IF($F$2=$J$3,F98,0)</f>
        <v>0</v>
      </c>
    </row>
    <row r="99" customFormat="false" ht="12.8" hidden="false" customHeight="false" outlineLevel="0" collapsed="false">
      <c r="A99" s="0" t="s">
        <v>21</v>
      </c>
      <c r="B99" s="0" t="s">
        <v>161</v>
      </c>
      <c r="C99" s="6"/>
      <c r="D99" s="6"/>
      <c r="E99" s="6"/>
      <c r="F99" s="6"/>
      <c r="G99" s="0" t="s">
        <v>12</v>
      </c>
      <c r="H99" s="7" t="n">
        <f aca="false">C99</f>
        <v>0</v>
      </c>
      <c r="I99" s="7" t="n">
        <f aca="false">D99</f>
        <v>0</v>
      </c>
      <c r="J99" s="7" t="n">
        <f aca="false">IF($F$2=$J$3,F99,0)</f>
        <v>0</v>
      </c>
    </row>
    <row r="100" customFormat="false" ht="12.8" hidden="false" customHeight="false" outlineLevel="0" collapsed="false">
      <c r="A100" s="0" t="s">
        <v>27</v>
      </c>
      <c r="B100" s="0" t="s">
        <v>162</v>
      </c>
      <c r="C100" s="6"/>
      <c r="D100" s="6"/>
      <c r="E100" s="6"/>
      <c r="F100" s="6"/>
      <c r="G100" s="0" t="s">
        <v>25</v>
      </c>
      <c r="H100" s="7" t="n">
        <f aca="false">C100</f>
        <v>0</v>
      </c>
      <c r="I100" s="7" t="n">
        <f aca="false">D100</f>
        <v>0</v>
      </c>
      <c r="J100" s="7" t="n">
        <f aca="false">IF($F$2=$J$3,F100,0)</f>
        <v>0</v>
      </c>
    </row>
    <row r="101" customFormat="false" ht="12.8" hidden="false" customHeight="false" outlineLevel="0" collapsed="false">
      <c r="A101" s="0" t="s">
        <v>32</v>
      </c>
      <c r="B101" s="0" t="s">
        <v>163</v>
      </c>
      <c r="C101" s="6"/>
      <c r="D101" s="6"/>
      <c r="E101" s="6"/>
      <c r="F101" s="6"/>
      <c r="G101" s="0" t="s">
        <v>34</v>
      </c>
      <c r="H101" s="7" t="n">
        <f aca="false">C101</f>
        <v>0</v>
      </c>
      <c r="I101" s="7" t="n">
        <f aca="false">D101</f>
        <v>0</v>
      </c>
      <c r="J101" s="7" t="n">
        <f aca="false">IF($F$2=$J$3,F101,0)</f>
        <v>0</v>
      </c>
    </row>
    <row r="102" customFormat="false" ht="12.8" hidden="false" customHeight="false" outlineLevel="0" collapsed="false">
      <c r="A102" s="0" t="s">
        <v>32</v>
      </c>
      <c r="B102" s="0" t="s">
        <v>164</v>
      </c>
      <c r="C102" s="6"/>
      <c r="D102" s="6"/>
      <c r="E102" s="6"/>
      <c r="F102" s="6"/>
      <c r="G102" s="0" t="s">
        <v>34</v>
      </c>
      <c r="H102" s="7" t="n">
        <f aca="false">C102</f>
        <v>0</v>
      </c>
      <c r="I102" s="7" t="n">
        <f aca="false">D102</f>
        <v>0</v>
      </c>
      <c r="J102" s="7" t="n">
        <f aca="false">IF($F$2=$J$3,F102,0)</f>
        <v>0</v>
      </c>
    </row>
    <row r="103" customFormat="false" ht="12.8" hidden="false" customHeight="false" outlineLevel="0" collapsed="false">
      <c r="A103" s="0" t="s">
        <v>165</v>
      </c>
      <c r="B103" s="0" t="s">
        <v>166</v>
      </c>
      <c r="C103" s="6"/>
      <c r="D103" s="6"/>
      <c r="E103" s="6"/>
      <c r="F103" s="6"/>
      <c r="G103" s="0" t="s">
        <v>167</v>
      </c>
      <c r="H103" s="7" t="n">
        <f aca="false">C103</f>
        <v>0</v>
      </c>
      <c r="I103" s="7" t="n">
        <f aca="false">D103</f>
        <v>0</v>
      </c>
      <c r="J103" s="7" t="n">
        <f aca="false">IF($F$2=$J$3,F103,0)</f>
        <v>0</v>
      </c>
    </row>
    <row r="104" customFormat="false" ht="12.8" hidden="false" customHeight="false" outlineLevel="0" collapsed="false">
      <c r="A104" s="0" t="s">
        <v>168</v>
      </c>
      <c r="B104" s="0" t="s">
        <v>169</v>
      </c>
      <c r="C104" s="6"/>
      <c r="D104" s="6"/>
      <c r="E104" s="6"/>
      <c r="F104" s="6"/>
      <c r="G104" s="0" t="s">
        <v>34</v>
      </c>
      <c r="H104" s="7" t="n">
        <f aca="false">C104</f>
        <v>0</v>
      </c>
      <c r="I104" s="7" t="n">
        <f aca="false">D104</f>
        <v>0</v>
      </c>
      <c r="J104" s="7" t="n">
        <f aca="false">IF($F$2=$J$3,F104,0)</f>
        <v>0</v>
      </c>
    </row>
    <row r="105" customFormat="false" ht="12.8" hidden="false" customHeight="false" outlineLevel="0" collapsed="false">
      <c r="A105" s="0" t="s">
        <v>170</v>
      </c>
      <c r="B105" s="0" t="s">
        <v>171</v>
      </c>
      <c r="C105" s="6"/>
      <c r="D105" s="6"/>
      <c r="E105" s="6"/>
      <c r="F105" s="6"/>
      <c r="G105" s="0" t="s">
        <v>44</v>
      </c>
      <c r="H105" s="7" t="n">
        <f aca="false">C105</f>
        <v>0</v>
      </c>
      <c r="I105" s="7" t="n">
        <f aca="false">D105</f>
        <v>0</v>
      </c>
      <c r="J105" s="7" t="n">
        <f aca="false">IF($F$2=$J$3,F105,0)</f>
        <v>0</v>
      </c>
    </row>
    <row r="106" customFormat="false" ht="12.8" hidden="false" customHeight="false" outlineLevel="0" collapsed="false">
      <c r="A106" s="0" t="s">
        <v>170</v>
      </c>
      <c r="B106" s="0" t="s">
        <v>172</v>
      </c>
      <c r="C106" s="6"/>
      <c r="D106" s="6"/>
      <c r="E106" s="6"/>
      <c r="F106" s="6"/>
      <c r="G106" s="0" t="s">
        <v>44</v>
      </c>
      <c r="H106" s="7" t="n">
        <f aca="false">C106</f>
        <v>0</v>
      </c>
      <c r="I106" s="7" t="n">
        <f aca="false">D106</f>
        <v>0</v>
      </c>
      <c r="J106" s="7" t="n">
        <f aca="false">IF($F$2=$J$3,F106,0)</f>
        <v>0</v>
      </c>
    </row>
    <row r="107" customFormat="false" ht="12.8" hidden="false" customHeight="false" outlineLevel="0" collapsed="false">
      <c r="A107" s="0" t="s">
        <v>170</v>
      </c>
      <c r="B107" s="0" t="s">
        <v>173</v>
      </c>
      <c r="C107" s="6"/>
      <c r="D107" s="6"/>
      <c r="E107" s="6"/>
      <c r="F107" s="6"/>
      <c r="G107" s="0" t="s">
        <v>44</v>
      </c>
      <c r="H107" s="7" t="n">
        <f aca="false">C107</f>
        <v>0</v>
      </c>
      <c r="I107" s="7" t="n">
        <f aca="false">D107</f>
        <v>0</v>
      </c>
      <c r="J107" s="7" t="n">
        <f aca="false">IF($F$2=$J$3,F107,0)</f>
        <v>0</v>
      </c>
    </row>
    <row r="108" customFormat="false" ht="12.8" hidden="false" customHeight="false" outlineLevel="0" collapsed="false">
      <c r="A108" s="0" t="s">
        <v>57</v>
      </c>
      <c r="B108" s="0" t="s">
        <v>174</v>
      </c>
      <c r="C108" s="6"/>
      <c r="D108" s="6"/>
      <c r="E108" s="6"/>
      <c r="F108" s="6"/>
      <c r="G108" s="0" t="s">
        <v>59</v>
      </c>
      <c r="H108" s="7" t="n">
        <f aca="false">C108</f>
        <v>0</v>
      </c>
      <c r="I108" s="7" t="n">
        <f aca="false">D108</f>
        <v>0</v>
      </c>
      <c r="J108" s="7" t="n">
        <f aca="false">IF($F$2=$J$3,F108,0)</f>
        <v>0</v>
      </c>
    </row>
    <row r="109" customFormat="false" ht="12.8" hidden="false" customHeight="false" outlineLevel="0" collapsed="false">
      <c r="A109" s="0" t="s">
        <v>36</v>
      </c>
      <c r="B109" s="0" t="s">
        <v>175</v>
      </c>
      <c r="C109" s="6"/>
      <c r="D109" s="6"/>
      <c r="E109" s="6"/>
      <c r="F109" s="6"/>
      <c r="G109" s="0" t="s">
        <v>38</v>
      </c>
      <c r="H109" s="7" t="n">
        <f aca="false">C109</f>
        <v>0</v>
      </c>
      <c r="I109" s="7" t="n">
        <f aca="false">D109</f>
        <v>0</v>
      </c>
      <c r="J109" s="7" t="n">
        <f aca="false">IF($F$2=$J$3,F109,0)</f>
        <v>0</v>
      </c>
    </row>
    <row r="110" customFormat="false" ht="12.8" hidden="false" customHeight="false" outlineLevel="0" collapsed="false">
      <c r="A110" s="0" t="s">
        <v>176</v>
      </c>
      <c r="B110" s="0" t="s">
        <v>177</v>
      </c>
      <c r="C110" s="6"/>
      <c r="D110" s="6"/>
      <c r="E110" s="6"/>
      <c r="F110" s="6"/>
      <c r="G110" s="0" t="s">
        <v>44</v>
      </c>
      <c r="H110" s="7" t="n">
        <f aca="false">C110</f>
        <v>0</v>
      </c>
      <c r="I110" s="7" t="n">
        <f aca="false">D110</f>
        <v>0</v>
      </c>
      <c r="J110" s="7" t="n">
        <f aca="false">IF($F$2=$J$3,F110,0)</f>
        <v>0</v>
      </c>
    </row>
    <row r="111" customFormat="false" ht="12.8" hidden="false" customHeight="false" outlineLevel="0" collapsed="false">
      <c r="A111" s="0" t="s">
        <v>60</v>
      </c>
      <c r="B111" s="0" t="s">
        <v>178</v>
      </c>
      <c r="C111" s="6"/>
      <c r="D111" s="6"/>
      <c r="E111" s="6"/>
      <c r="F111" s="6"/>
      <c r="G111" s="0" t="s">
        <v>62</v>
      </c>
      <c r="H111" s="7" t="n">
        <f aca="false">C111</f>
        <v>0</v>
      </c>
      <c r="I111" s="7" t="n">
        <f aca="false">D111</f>
        <v>0</v>
      </c>
      <c r="J111" s="7" t="n">
        <f aca="false">IF($F$2=$J$3,F111,0)</f>
        <v>0</v>
      </c>
    </row>
    <row r="112" customFormat="false" ht="12.8" hidden="false" customHeight="false" outlineLevel="0" collapsed="false">
      <c r="A112" s="0" t="s">
        <v>63</v>
      </c>
      <c r="B112" s="0" t="s">
        <v>179</v>
      </c>
      <c r="C112" s="6"/>
      <c r="D112" s="6"/>
      <c r="E112" s="6"/>
      <c r="F112" s="6"/>
      <c r="G112" s="0" t="s">
        <v>62</v>
      </c>
      <c r="H112" s="7" t="n">
        <f aca="false">C112</f>
        <v>0</v>
      </c>
      <c r="I112" s="7" t="n">
        <f aca="false">D112</f>
        <v>0</v>
      </c>
      <c r="J112" s="7" t="n">
        <f aca="false">IF($F$2=$J$3,F112,0)</f>
        <v>0</v>
      </c>
    </row>
    <row r="113" customFormat="false" ht="12.8" hidden="false" customHeight="false" outlineLevel="0" collapsed="false">
      <c r="A113" s="0" t="s">
        <v>180</v>
      </c>
      <c r="B113" s="0" t="s">
        <v>181</v>
      </c>
      <c r="C113" s="6"/>
      <c r="D113" s="6"/>
      <c r="E113" s="6"/>
      <c r="F113" s="6"/>
      <c r="G113" s="0" t="s">
        <v>99</v>
      </c>
      <c r="H113" s="7" t="n">
        <f aca="false">C113</f>
        <v>0</v>
      </c>
      <c r="I113" s="7" t="n">
        <f aca="false">D113</f>
        <v>0</v>
      </c>
      <c r="J113" s="7" t="n">
        <f aca="false">IF($F$2=$J$3,F113,0)</f>
        <v>0</v>
      </c>
    </row>
    <row r="114" customFormat="false" ht="12.8" hidden="false" customHeight="false" outlineLevel="0" collapsed="false">
      <c r="A114" s="0" t="s">
        <v>182</v>
      </c>
      <c r="B114" s="0" t="s">
        <v>183</v>
      </c>
      <c r="C114" s="6"/>
      <c r="D114" s="6"/>
      <c r="E114" s="6"/>
      <c r="F114" s="6"/>
      <c r="G114" s="0" t="s">
        <v>66</v>
      </c>
      <c r="H114" s="7" t="n">
        <f aca="false">C114</f>
        <v>0</v>
      </c>
      <c r="I114" s="7" t="n">
        <f aca="false">D114</f>
        <v>0</v>
      </c>
      <c r="J114" s="7" t="n">
        <f aca="false">IF($F$2=$J$3,F114,0)</f>
        <v>0</v>
      </c>
    </row>
    <row r="115" customFormat="false" ht="12.8" hidden="false" customHeight="false" outlineLevel="0" collapsed="false">
      <c r="A115" s="0" t="s">
        <v>182</v>
      </c>
      <c r="B115" s="0" t="s">
        <v>184</v>
      </c>
      <c r="C115" s="6"/>
      <c r="D115" s="6"/>
      <c r="E115" s="6"/>
      <c r="F115" s="6"/>
      <c r="G115" s="0" t="s">
        <v>66</v>
      </c>
      <c r="H115" s="7" t="n">
        <f aca="false">C115</f>
        <v>0</v>
      </c>
      <c r="I115" s="7" t="n">
        <f aca="false">D115</f>
        <v>0</v>
      </c>
      <c r="J115" s="7" t="n">
        <f aca="false">IF($F$2=$J$3,F115,0)</f>
        <v>0</v>
      </c>
    </row>
    <row r="116" customFormat="false" ht="12.8" hidden="false" customHeight="false" outlineLevel="0" collapsed="false">
      <c r="A116" s="0" t="s">
        <v>182</v>
      </c>
      <c r="B116" s="0" t="s">
        <v>185</v>
      </c>
      <c r="C116" s="6"/>
      <c r="D116" s="6"/>
      <c r="E116" s="6"/>
      <c r="F116" s="6"/>
      <c r="G116" s="0" t="s">
        <v>66</v>
      </c>
      <c r="H116" s="7" t="n">
        <f aca="false">C116</f>
        <v>0</v>
      </c>
      <c r="I116" s="7" t="n">
        <f aca="false">D116</f>
        <v>0</v>
      </c>
      <c r="J116" s="7" t="n">
        <f aca="false">IF($F$2=$J$3,F116,0)</f>
        <v>0</v>
      </c>
    </row>
    <row r="117" customFormat="false" ht="12.8" hidden="false" customHeight="false" outlineLevel="0" collapsed="false">
      <c r="A117" s="0" t="s">
        <v>182</v>
      </c>
      <c r="B117" s="0" t="s">
        <v>186</v>
      </c>
      <c r="C117" s="6"/>
      <c r="D117" s="6"/>
      <c r="E117" s="6"/>
      <c r="F117" s="6"/>
      <c r="G117" s="0" t="s">
        <v>66</v>
      </c>
      <c r="H117" s="7" t="n">
        <f aca="false">C117</f>
        <v>0</v>
      </c>
      <c r="I117" s="7" t="n">
        <f aca="false">D117</f>
        <v>0</v>
      </c>
      <c r="J117" s="7" t="n">
        <f aca="false">IF($F$2=$J$3,F117,0)</f>
        <v>0</v>
      </c>
    </row>
    <row r="118" customFormat="false" ht="12.8" hidden="false" customHeight="false" outlineLevel="0" collapsed="false">
      <c r="A118" s="0" t="s">
        <v>187</v>
      </c>
      <c r="B118" s="0" t="s">
        <v>188</v>
      </c>
      <c r="C118" s="6"/>
      <c r="D118" s="6"/>
      <c r="E118" s="6"/>
      <c r="F118" s="6"/>
      <c r="G118" s="0" t="s">
        <v>69</v>
      </c>
      <c r="H118" s="7" t="n">
        <f aca="false">C118</f>
        <v>0</v>
      </c>
      <c r="I118" s="7" t="n">
        <f aca="false">D118</f>
        <v>0</v>
      </c>
      <c r="J118" s="7" t="n">
        <f aca="false">IF($F$2=$J$3,F118,0)</f>
        <v>0</v>
      </c>
    </row>
    <row r="119" customFormat="false" ht="12.8" hidden="false" customHeight="false" outlineLevel="0" collapsed="false">
      <c r="A119" s="0" t="s">
        <v>77</v>
      </c>
      <c r="B119" s="0" t="s">
        <v>189</v>
      </c>
      <c r="C119" s="6"/>
      <c r="D119" s="6"/>
      <c r="E119" s="6"/>
      <c r="F119" s="6"/>
      <c r="G119" s="0" t="s">
        <v>44</v>
      </c>
      <c r="H119" s="7" t="n">
        <f aca="false">C119</f>
        <v>0</v>
      </c>
      <c r="I119" s="7" t="n">
        <f aca="false">D119</f>
        <v>0</v>
      </c>
      <c r="J119" s="7" t="n">
        <f aca="false">IF($F$2=$J$3,F119,0)</f>
        <v>0</v>
      </c>
    </row>
    <row r="120" customFormat="false" ht="12.8" hidden="false" customHeight="false" outlineLevel="0" collapsed="false">
      <c r="A120" s="0" t="s">
        <v>79</v>
      </c>
      <c r="B120" s="0" t="s">
        <v>190</v>
      </c>
      <c r="C120" s="6"/>
      <c r="D120" s="6"/>
      <c r="E120" s="6"/>
      <c r="F120" s="6"/>
      <c r="G120" s="0" t="s">
        <v>44</v>
      </c>
      <c r="H120" s="7" t="n">
        <f aca="false">C120</f>
        <v>0</v>
      </c>
      <c r="I120" s="7" t="n">
        <f aca="false">D120</f>
        <v>0</v>
      </c>
      <c r="J120" s="7" t="n">
        <f aca="false">IF($F$2=$J$3,F120,0)</f>
        <v>0</v>
      </c>
    </row>
    <row r="121" customFormat="false" ht="12.8" hidden="false" customHeight="false" outlineLevel="0" collapsed="false">
      <c r="A121" s="0" t="s">
        <v>81</v>
      </c>
      <c r="B121" s="0" t="s">
        <v>191</v>
      </c>
      <c r="C121" s="6"/>
      <c r="D121" s="6"/>
      <c r="E121" s="6"/>
      <c r="F121" s="6"/>
      <c r="G121" s="0" t="s">
        <v>66</v>
      </c>
      <c r="H121" s="7" t="n">
        <f aca="false">C121</f>
        <v>0</v>
      </c>
      <c r="I121" s="7" t="n">
        <f aca="false">D121</f>
        <v>0</v>
      </c>
      <c r="J121" s="7" t="n">
        <f aca="false">IF($F$2=$J$3,F121,0)</f>
        <v>0</v>
      </c>
    </row>
    <row r="122" customFormat="false" ht="12.8" hidden="false" customHeight="false" outlineLevel="0" collapsed="false">
      <c r="A122" s="0" t="s">
        <v>83</v>
      </c>
      <c r="B122" s="0" t="s">
        <v>192</v>
      </c>
      <c r="C122" s="6"/>
      <c r="D122" s="6"/>
      <c r="E122" s="6"/>
      <c r="F122" s="6"/>
      <c r="G122" s="0" t="s">
        <v>66</v>
      </c>
      <c r="H122" s="7" t="n">
        <f aca="false">C122</f>
        <v>0</v>
      </c>
      <c r="I122" s="7" t="n">
        <f aca="false">D122</f>
        <v>0</v>
      </c>
      <c r="J122" s="7" t="n">
        <f aca="false">IF($F$2=$J$3,F122,0)</f>
        <v>0</v>
      </c>
    </row>
    <row r="123" customFormat="false" ht="12.8" hidden="false" customHeight="false" outlineLevel="0" collapsed="false">
      <c r="A123" s="0" t="s">
        <v>77</v>
      </c>
      <c r="B123" s="0" t="s">
        <v>193</v>
      </c>
      <c r="C123" s="6"/>
      <c r="D123" s="6"/>
      <c r="E123" s="6"/>
      <c r="F123" s="6"/>
      <c r="G123" s="0" t="s">
        <v>44</v>
      </c>
      <c r="H123" s="7" t="n">
        <f aca="false">C123</f>
        <v>0</v>
      </c>
      <c r="I123" s="7" t="n">
        <f aca="false">D123</f>
        <v>0</v>
      </c>
      <c r="J123" s="7" t="n">
        <f aca="false">IF($F$2=$J$3,F123,0)</f>
        <v>0</v>
      </c>
    </row>
    <row r="124" customFormat="false" ht="12.8" hidden="false" customHeight="false" outlineLevel="0" collapsed="false">
      <c r="A124" s="0" t="s">
        <v>79</v>
      </c>
      <c r="B124" s="0" t="s">
        <v>194</v>
      </c>
      <c r="C124" s="6"/>
      <c r="D124" s="6"/>
      <c r="E124" s="6"/>
      <c r="F124" s="6"/>
      <c r="G124" s="0" t="s">
        <v>44</v>
      </c>
      <c r="H124" s="7" t="n">
        <f aca="false">C124</f>
        <v>0</v>
      </c>
      <c r="I124" s="7" t="n">
        <f aca="false">D124</f>
        <v>0</v>
      </c>
      <c r="J124" s="7" t="n">
        <f aca="false">IF($F$2=$J$3,F124,0)</f>
        <v>0</v>
      </c>
    </row>
    <row r="125" customFormat="false" ht="12.8" hidden="false" customHeight="false" outlineLevel="0" collapsed="false">
      <c r="A125" s="0" t="s">
        <v>81</v>
      </c>
      <c r="B125" s="0" t="s">
        <v>195</v>
      </c>
      <c r="C125" s="6"/>
      <c r="D125" s="6"/>
      <c r="E125" s="6"/>
      <c r="F125" s="6"/>
      <c r="G125" s="0" t="s">
        <v>66</v>
      </c>
      <c r="H125" s="7" t="n">
        <f aca="false">C125</f>
        <v>0</v>
      </c>
      <c r="I125" s="7" t="n">
        <f aca="false">D125</f>
        <v>0</v>
      </c>
      <c r="J125" s="7" t="n">
        <f aca="false">IF($F$2=$J$3,F125,0)</f>
        <v>0</v>
      </c>
    </row>
    <row r="126" customFormat="false" ht="12.8" hidden="false" customHeight="false" outlineLevel="0" collapsed="false">
      <c r="A126" s="0" t="s">
        <v>83</v>
      </c>
      <c r="B126" s="0" t="s">
        <v>196</v>
      </c>
      <c r="C126" s="6"/>
      <c r="D126" s="6"/>
      <c r="E126" s="6"/>
      <c r="F126" s="6"/>
      <c r="G126" s="0" t="s">
        <v>66</v>
      </c>
      <c r="H126" s="7" t="n">
        <f aca="false">C126</f>
        <v>0</v>
      </c>
      <c r="I126" s="7" t="n">
        <f aca="false">D126</f>
        <v>0</v>
      </c>
      <c r="J126" s="7" t="n">
        <f aca="false">IF($F$2=$J$3,F126,0)</f>
        <v>0</v>
      </c>
    </row>
    <row r="127" customFormat="false" ht="12.8" hidden="false" customHeight="false" outlineLevel="0" collapsed="false">
      <c r="A127" s="0" t="s">
        <v>77</v>
      </c>
      <c r="B127" s="0" t="s">
        <v>197</v>
      </c>
      <c r="C127" s="6"/>
      <c r="D127" s="6"/>
      <c r="E127" s="6"/>
      <c r="F127" s="6"/>
      <c r="G127" s="0" t="s">
        <v>44</v>
      </c>
      <c r="H127" s="7" t="n">
        <f aca="false">C127</f>
        <v>0</v>
      </c>
      <c r="I127" s="7" t="n">
        <f aca="false">D127</f>
        <v>0</v>
      </c>
      <c r="J127" s="7" t="n">
        <f aca="false">IF($F$2=$J$3,F127,0)</f>
        <v>0</v>
      </c>
    </row>
    <row r="128" customFormat="false" ht="12.8" hidden="false" customHeight="false" outlineLevel="0" collapsed="false">
      <c r="A128" s="0" t="s">
        <v>79</v>
      </c>
      <c r="B128" s="0" t="s">
        <v>198</v>
      </c>
      <c r="C128" s="6"/>
      <c r="D128" s="6"/>
      <c r="E128" s="6"/>
      <c r="F128" s="6"/>
      <c r="G128" s="0" t="s">
        <v>44</v>
      </c>
      <c r="H128" s="7" t="n">
        <f aca="false">C128</f>
        <v>0</v>
      </c>
      <c r="I128" s="7" t="n">
        <f aca="false">D128</f>
        <v>0</v>
      </c>
      <c r="J128" s="7" t="n">
        <f aca="false">IF($F$2=$J$3,F128,0)</f>
        <v>0</v>
      </c>
    </row>
    <row r="129" customFormat="false" ht="12.8" hidden="false" customHeight="false" outlineLevel="0" collapsed="false">
      <c r="A129" s="0" t="s">
        <v>81</v>
      </c>
      <c r="B129" s="0" t="s">
        <v>199</v>
      </c>
      <c r="C129" s="6"/>
      <c r="D129" s="6"/>
      <c r="E129" s="6"/>
      <c r="F129" s="6"/>
      <c r="G129" s="0" t="s">
        <v>66</v>
      </c>
      <c r="H129" s="7" t="n">
        <f aca="false">C129</f>
        <v>0</v>
      </c>
      <c r="I129" s="7" t="n">
        <f aca="false">D129</f>
        <v>0</v>
      </c>
      <c r="J129" s="7" t="n">
        <f aca="false">IF($F$2=$J$3,F129,0)</f>
        <v>0</v>
      </c>
    </row>
    <row r="130" customFormat="false" ht="12.8" hidden="false" customHeight="false" outlineLevel="0" collapsed="false">
      <c r="A130" s="0" t="s">
        <v>83</v>
      </c>
      <c r="B130" s="0" t="s">
        <v>200</v>
      </c>
      <c r="C130" s="6"/>
      <c r="D130" s="6"/>
      <c r="E130" s="6"/>
      <c r="F130" s="6"/>
      <c r="G130" s="0" t="s">
        <v>66</v>
      </c>
      <c r="H130" s="7" t="n">
        <f aca="false">C130</f>
        <v>0</v>
      </c>
      <c r="I130" s="7" t="n">
        <f aca="false">D130</f>
        <v>0</v>
      </c>
      <c r="J130" s="7" t="n">
        <f aca="false">IF($F$2=$J$3,F130,0)</f>
        <v>0</v>
      </c>
    </row>
    <row r="131" customFormat="false" ht="12.8" hidden="false" customHeight="false" outlineLevel="0" collapsed="false">
      <c r="A131" s="0" t="s">
        <v>77</v>
      </c>
      <c r="B131" s="0" t="s">
        <v>201</v>
      </c>
      <c r="C131" s="6"/>
      <c r="D131" s="6"/>
      <c r="E131" s="6"/>
      <c r="F131" s="6"/>
      <c r="G131" s="0" t="s">
        <v>44</v>
      </c>
      <c r="H131" s="7" t="n">
        <f aca="false">C131</f>
        <v>0</v>
      </c>
      <c r="I131" s="7" t="n">
        <f aca="false">D131</f>
        <v>0</v>
      </c>
      <c r="J131" s="7" t="n">
        <f aca="false">IF($F$2=$J$3,F131,0)</f>
        <v>0</v>
      </c>
    </row>
    <row r="132" customFormat="false" ht="12.8" hidden="false" customHeight="false" outlineLevel="0" collapsed="false">
      <c r="A132" s="0" t="s">
        <v>79</v>
      </c>
      <c r="B132" s="0" t="s">
        <v>202</v>
      </c>
      <c r="C132" s="6"/>
      <c r="D132" s="6"/>
      <c r="E132" s="6"/>
      <c r="F132" s="6"/>
      <c r="G132" s="0" t="s">
        <v>44</v>
      </c>
      <c r="H132" s="7" t="n">
        <f aca="false">C132</f>
        <v>0</v>
      </c>
      <c r="I132" s="7" t="n">
        <f aca="false">D132</f>
        <v>0</v>
      </c>
      <c r="J132" s="7" t="n">
        <f aca="false">IF($F$2=$J$3,F132,0)</f>
        <v>0</v>
      </c>
    </row>
    <row r="133" customFormat="false" ht="12.8" hidden="false" customHeight="false" outlineLevel="0" collapsed="false">
      <c r="A133" s="0" t="s">
        <v>81</v>
      </c>
      <c r="B133" s="0" t="s">
        <v>203</v>
      </c>
      <c r="C133" s="6"/>
      <c r="D133" s="6"/>
      <c r="E133" s="6"/>
      <c r="F133" s="6"/>
      <c r="G133" s="0" t="s">
        <v>66</v>
      </c>
      <c r="H133" s="7" t="n">
        <f aca="false">C133</f>
        <v>0</v>
      </c>
      <c r="I133" s="7" t="n">
        <f aca="false">D133</f>
        <v>0</v>
      </c>
      <c r="J133" s="7" t="n">
        <f aca="false">IF($F$2=$J$3,F133,0)</f>
        <v>0</v>
      </c>
    </row>
    <row r="134" customFormat="false" ht="12.8" hidden="false" customHeight="false" outlineLevel="0" collapsed="false">
      <c r="A134" s="0" t="s">
        <v>83</v>
      </c>
      <c r="B134" s="0" t="s">
        <v>204</v>
      </c>
      <c r="C134" s="6"/>
      <c r="D134" s="6"/>
      <c r="E134" s="6"/>
      <c r="F134" s="6"/>
      <c r="G134" s="0" t="s">
        <v>66</v>
      </c>
      <c r="H134" s="7" t="n">
        <f aca="false">C134</f>
        <v>0</v>
      </c>
      <c r="I134" s="7" t="n">
        <f aca="false">D134</f>
        <v>0</v>
      </c>
      <c r="J134" s="7" t="n">
        <f aca="false">IF($F$2=$J$3,F134,0)</f>
        <v>0</v>
      </c>
    </row>
    <row r="135" customFormat="false" ht="12.8" hidden="false" customHeight="false" outlineLevel="0" collapsed="false">
      <c r="A135" s="0" t="s">
        <v>97</v>
      </c>
      <c r="B135" s="0" t="s">
        <v>205</v>
      </c>
      <c r="C135" s="6"/>
      <c r="D135" s="6"/>
      <c r="E135" s="6"/>
      <c r="F135" s="6"/>
      <c r="G135" s="0" t="s">
        <v>99</v>
      </c>
      <c r="H135" s="7" t="n">
        <f aca="false">C135</f>
        <v>0</v>
      </c>
      <c r="I135" s="7" t="n">
        <f aca="false">D135</f>
        <v>0</v>
      </c>
      <c r="J135" s="7" t="n">
        <f aca="false">IF($F$2=$J$3,F135,0)</f>
        <v>0</v>
      </c>
    </row>
    <row r="136" customFormat="false" ht="12.8" hidden="false" customHeight="false" outlineLevel="0" collapsed="false">
      <c r="A136" s="0" t="s">
        <v>100</v>
      </c>
      <c r="B136" s="0" t="s">
        <v>206</v>
      </c>
      <c r="C136" s="6"/>
      <c r="D136" s="6"/>
      <c r="E136" s="6"/>
      <c r="F136" s="6"/>
      <c r="G136" s="0" t="s">
        <v>99</v>
      </c>
      <c r="H136" s="7" t="n">
        <f aca="false">C136</f>
        <v>0</v>
      </c>
      <c r="I136" s="7" t="n">
        <f aca="false">D136</f>
        <v>0</v>
      </c>
      <c r="J136" s="7" t="n">
        <f aca="false">IF($F$2=$J$3,F136,0)</f>
        <v>0</v>
      </c>
    </row>
    <row r="137" customFormat="false" ht="12.8" hidden="false" customHeight="false" outlineLevel="0" collapsed="false">
      <c r="A137" s="0" t="s">
        <v>102</v>
      </c>
      <c r="B137" s="0" t="s">
        <v>207</v>
      </c>
      <c r="C137" s="6"/>
      <c r="D137" s="6"/>
      <c r="E137" s="6"/>
      <c r="F137" s="6"/>
      <c r="G137" s="0" t="s">
        <v>69</v>
      </c>
      <c r="H137" s="7" t="n">
        <f aca="false">C137</f>
        <v>0</v>
      </c>
      <c r="I137" s="7" t="n">
        <f aca="false">D137</f>
        <v>0</v>
      </c>
      <c r="J137" s="7" t="n">
        <f aca="false">IF($F$2=$J$3,F137,0)</f>
        <v>0</v>
      </c>
    </row>
    <row r="138" customFormat="false" ht="12.8" hidden="false" customHeight="false" outlineLevel="0" collapsed="false">
      <c r="A138" s="0" t="s">
        <v>104</v>
      </c>
      <c r="B138" s="0" t="s">
        <v>208</v>
      </c>
      <c r="C138" s="6"/>
      <c r="D138" s="6"/>
      <c r="E138" s="6"/>
      <c r="F138" s="6"/>
      <c r="G138" s="0" t="s">
        <v>69</v>
      </c>
      <c r="H138" s="7" t="n">
        <f aca="false">C138</f>
        <v>0</v>
      </c>
      <c r="I138" s="7" t="n">
        <f aca="false">D138</f>
        <v>0</v>
      </c>
      <c r="J138" s="7" t="n">
        <f aca="false">IF($F$2=$J$3,F138,0)</f>
        <v>0</v>
      </c>
    </row>
    <row r="139" customFormat="false" ht="12.8" hidden="false" customHeight="false" outlineLevel="0" collapsed="false">
      <c r="A139" s="0" t="s">
        <v>209</v>
      </c>
      <c r="B139" s="0" t="s">
        <v>210</v>
      </c>
      <c r="C139" s="6"/>
      <c r="D139" s="6"/>
      <c r="E139" s="6"/>
      <c r="F139" s="6"/>
      <c r="G139" s="0" t="s">
        <v>44</v>
      </c>
      <c r="H139" s="7" t="n">
        <f aca="false">C139*-1</f>
        <v>-0</v>
      </c>
      <c r="I139" s="7" t="n">
        <f aca="false">D139*-1</f>
        <v>-0</v>
      </c>
      <c r="J139" s="7" t="n">
        <f aca="false">IF($F$2=$J$3,F139,0)*-1</f>
        <v>-0</v>
      </c>
    </row>
    <row r="140" customFormat="false" ht="12.8" hidden="false" customHeight="false" outlineLevel="0" collapsed="false">
      <c r="A140" s="0" t="s">
        <v>211</v>
      </c>
      <c r="B140" s="0" t="s">
        <v>212</v>
      </c>
      <c r="C140" s="6"/>
      <c r="D140" s="6"/>
      <c r="E140" s="6"/>
      <c r="F140" s="6"/>
      <c r="G140" s="0" t="s">
        <v>66</v>
      </c>
      <c r="H140" s="7" t="n">
        <f aca="false">C140*-1</f>
        <v>-0</v>
      </c>
      <c r="I140" s="7" t="n">
        <f aca="false">D140*-1</f>
        <v>-0</v>
      </c>
      <c r="J140" s="7" t="n">
        <f aca="false">IF($F$2=$J$3,F140,0)*-1</f>
        <v>-0</v>
      </c>
    </row>
    <row r="141" customFormat="false" ht="12.8" hidden="false" customHeight="false" outlineLevel="0" collapsed="false">
      <c r="A141" s="0" t="s">
        <v>209</v>
      </c>
      <c r="B141" s="0" t="s">
        <v>213</v>
      </c>
      <c r="C141" s="6"/>
      <c r="D141" s="6"/>
      <c r="E141" s="6"/>
      <c r="F141" s="6"/>
      <c r="G141" s="0" t="s">
        <v>44</v>
      </c>
      <c r="H141" s="7" t="n">
        <f aca="false">C141*-1</f>
        <v>-0</v>
      </c>
      <c r="I141" s="7" t="n">
        <f aca="false">D141*-1</f>
        <v>-0</v>
      </c>
      <c r="J141" s="7" t="n">
        <f aca="false">IF($F$2=$J$3,F141,0)*-1</f>
        <v>-0</v>
      </c>
    </row>
    <row r="142" customFormat="false" ht="12.8" hidden="false" customHeight="false" outlineLevel="0" collapsed="false">
      <c r="A142" s="0" t="s">
        <v>211</v>
      </c>
      <c r="B142" s="0" t="s">
        <v>214</v>
      </c>
      <c r="C142" s="6"/>
      <c r="D142" s="6"/>
      <c r="E142" s="6"/>
      <c r="F142" s="6"/>
      <c r="G142" s="0" t="s">
        <v>66</v>
      </c>
      <c r="H142" s="7" t="n">
        <f aca="false">C142*-1</f>
        <v>-0</v>
      </c>
      <c r="I142" s="7" t="n">
        <f aca="false">D142*-1</f>
        <v>-0</v>
      </c>
      <c r="J142" s="7" t="n">
        <f aca="false">IF($F$2=$J$3,F142,0)*-1</f>
        <v>-0</v>
      </c>
    </row>
    <row r="143" customFormat="false" ht="12.8" hidden="false" customHeight="false" outlineLevel="0" collapsed="false">
      <c r="A143" s="0" t="s">
        <v>209</v>
      </c>
      <c r="B143" s="0" t="s">
        <v>215</v>
      </c>
      <c r="C143" s="6"/>
      <c r="D143" s="6"/>
      <c r="E143" s="6"/>
      <c r="F143" s="6"/>
      <c r="G143" s="0" t="s">
        <v>44</v>
      </c>
      <c r="H143" s="7" t="n">
        <f aca="false">C143*-1</f>
        <v>-0</v>
      </c>
      <c r="I143" s="7" t="n">
        <f aca="false">D143*-1</f>
        <v>-0</v>
      </c>
      <c r="J143" s="7" t="n">
        <f aca="false">IF($F$2=$J$3,F143,0)*-1</f>
        <v>-0</v>
      </c>
    </row>
    <row r="144" customFormat="false" ht="12.8" hidden="false" customHeight="false" outlineLevel="0" collapsed="false">
      <c r="A144" s="0" t="s">
        <v>211</v>
      </c>
      <c r="B144" s="0" t="s">
        <v>216</v>
      </c>
      <c r="C144" s="6"/>
      <c r="D144" s="6"/>
      <c r="E144" s="6"/>
      <c r="F144" s="6"/>
      <c r="G144" s="0" t="s">
        <v>66</v>
      </c>
      <c r="H144" s="7" t="n">
        <f aca="false">C144*-1</f>
        <v>-0</v>
      </c>
      <c r="I144" s="7" t="n">
        <f aca="false">D144*-1</f>
        <v>-0</v>
      </c>
      <c r="J144" s="7" t="n">
        <f aca="false">IF($F$2=$J$3,F144,0)*-1</f>
        <v>-0</v>
      </c>
    </row>
    <row r="145" customFormat="false" ht="12.8" hidden="false" customHeight="false" outlineLevel="0" collapsed="false">
      <c r="A145" s="0" t="s">
        <v>209</v>
      </c>
      <c r="B145" s="0" t="s">
        <v>217</v>
      </c>
      <c r="C145" s="6"/>
      <c r="D145" s="6"/>
      <c r="E145" s="6"/>
      <c r="F145" s="6"/>
      <c r="G145" s="0" t="s">
        <v>44</v>
      </c>
      <c r="H145" s="7" t="n">
        <f aca="false">C145*-1</f>
        <v>-0</v>
      </c>
      <c r="I145" s="7" t="n">
        <f aca="false">D145*-1</f>
        <v>-0</v>
      </c>
      <c r="J145" s="7" t="n">
        <f aca="false">IF($F$2=$J$3,F145,0)*-1</f>
        <v>-0</v>
      </c>
    </row>
    <row r="146" customFormat="false" ht="12.8" hidden="false" customHeight="false" outlineLevel="0" collapsed="false">
      <c r="A146" s="0" t="s">
        <v>211</v>
      </c>
      <c r="B146" s="0" t="s">
        <v>218</v>
      </c>
      <c r="C146" s="6"/>
      <c r="D146" s="6"/>
      <c r="E146" s="6"/>
      <c r="F146" s="6"/>
      <c r="G146" s="0" t="s">
        <v>66</v>
      </c>
      <c r="H146" s="7" t="n">
        <f aca="false">C146*-1</f>
        <v>-0</v>
      </c>
      <c r="I146" s="7" t="n">
        <f aca="false">D146*-1</f>
        <v>-0</v>
      </c>
      <c r="J146" s="7" t="n">
        <f aca="false">IF($F$2=$J$3,F146,0)*-1</f>
        <v>-0</v>
      </c>
    </row>
    <row r="147" customFormat="false" ht="12.8" hidden="false" customHeight="false" outlineLevel="0" collapsed="false">
      <c r="A147" s="0" t="s">
        <v>219</v>
      </c>
      <c r="B147" s="0" t="s">
        <v>220</v>
      </c>
      <c r="C147" s="6"/>
      <c r="D147" s="6"/>
      <c r="E147" s="6"/>
      <c r="F147" s="6"/>
      <c r="G147" s="0" t="s">
        <v>99</v>
      </c>
      <c r="H147" s="7" t="n">
        <f aca="false">C147*-1</f>
        <v>-0</v>
      </c>
      <c r="I147" s="7" t="n">
        <f aca="false">D147*-1</f>
        <v>-0</v>
      </c>
      <c r="J147" s="7" t="n">
        <f aca="false">IF($F$2=$J$3,F147,0)*-1</f>
        <v>-0</v>
      </c>
    </row>
    <row r="148" customFormat="false" ht="12.8" hidden="false" customHeight="false" outlineLevel="0" collapsed="false">
      <c r="A148" s="0" t="s">
        <v>118</v>
      </c>
      <c r="B148" s="0" t="s">
        <v>221</v>
      </c>
      <c r="C148" s="6"/>
      <c r="D148" s="6"/>
      <c r="E148" s="6"/>
      <c r="F148" s="6"/>
      <c r="G148" s="0" t="s">
        <v>59</v>
      </c>
      <c r="H148" s="7" t="n">
        <f aca="false">C148</f>
        <v>0</v>
      </c>
      <c r="I148" s="7" t="n">
        <f aca="false">D148</f>
        <v>0</v>
      </c>
      <c r="J148" s="7" t="n">
        <f aca="false">IF($F$2=$J$3,F148,0)</f>
        <v>0</v>
      </c>
    </row>
    <row r="149" customFormat="false" ht="12.8" hidden="false" customHeight="false" outlineLevel="0" collapsed="false">
      <c r="A149" s="0" t="s">
        <v>121</v>
      </c>
      <c r="B149" s="0" t="s">
        <v>222</v>
      </c>
      <c r="C149" s="6"/>
      <c r="D149" s="6"/>
      <c r="E149" s="6"/>
      <c r="F149" s="6"/>
      <c r="G149" s="0" t="s">
        <v>59</v>
      </c>
      <c r="H149" s="7" t="n">
        <f aca="false">C149</f>
        <v>0</v>
      </c>
      <c r="I149" s="7" t="n">
        <f aca="false">D149</f>
        <v>0</v>
      </c>
      <c r="J149" s="7" t="n">
        <f aca="false">IF($F$2=$J$3,F149,0)</f>
        <v>0</v>
      </c>
    </row>
    <row r="150" customFormat="false" ht="12.8" hidden="false" customHeight="false" outlineLevel="0" collapsed="false">
      <c r="A150" s="0" t="s">
        <v>127</v>
      </c>
      <c r="B150" s="0" t="s">
        <v>223</v>
      </c>
      <c r="C150" s="6"/>
      <c r="D150" s="6"/>
      <c r="E150" s="6"/>
      <c r="F150" s="6"/>
      <c r="G150" s="0" t="s">
        <v>12</v>
      </c>
      <c r="H150" s="7" t="n">
        <f aca="false">C150</f>
        <v>0</v>
      </c>
      <c r="I150" s="7" t="n">
        <f aca="false">D150</f>
        <v>0</v>
      </c>
      <c r="J150" s="7" t="n">
        <f aca="false">IF($F$2=$J$3,F150,0)</f>
        <v>0</v>
      </c>
    </row>
    <row r="151" customFormat="false" ht="12.8" hidden="false" customHeight="false" outlineLevel="0" collapsed="false">
      <c r="A151" s="0" t="s">
        <v>129</v>
      </c>
      <c r="B151" s="0" t="s">
        <v>224</v>
      </c>
      <c r="C151" s="6"/>
      <c r="D151" s="6"/>
      <c r="E151" s="6"/>
      <c r="F151" s="6"/>
      <c r="G151" s="0" t="s">
        <v>12</v>
      </c>
      <c r="H151" s="7" t="n">
        <f aca="false">C151</f>
        <v>0</v>
      </c>
      <c r="I151" s="7" t="n">
        <f aca="false">D151</f>
        <v>0</v>
      </c>
      <c r="J151" s="7" t="n">
        <f aca="false">IF($F$2=$J$3,F151,0)</f>
        <v>0</v>
      </c>
    </row>
    <row r="152" customFormat="false" ht="12.8" hidden="false" customHeight="false" outlineLevel="0" collapsed="false">
      <c r="A152" s="0" t="s">
        <v>131</v>
      </c>
      <c r="B152" s="0" t="s">
        <v>225</v>
      </c>
      <c r="C152" s="6"/>
      <c r="D152" s="6"/>
      <c r="E152" s="6"/>
      <c r="F152" s="6"/>
      <c r="G152" s="0" t="s">
        <v>12</v>
      </c>
      <c r="H152" s="7" t="n">
        <f aca="false">C152</f>
        <v>0</v>
      </c>
      <c r="I152" s="7" t="n">
        <f aca="false">D152</f>
        <v>0</v>
      </c>
      <c r="J152" s="7" t="n">
        <f aca="false">IF($F$2=$J$3,F152,0)</f>
        <v>0</v>
      </c>
    </row>
    <row r="153" customFormat="false" ht="12.8" hidden="false" customHeight="false" outlineLevel="0" collapsed="false">
      <c r="A153" s="0" t="s">
        <v>133</v>
      </c>
      <c r="B153" s="0" t="s">
        <v>226</v>
      </c>
      <c r="C153" s="6"/>
      <c r="D153" s="6"/>
      <c r="E153" s="6"/>
      <c r="F153" s="6"/>
      <c r="G153" s="0" t="s">
        <v>12</v>
      </c>
      <c r="H153" s="7" t="n">
        <f aca="false">C153</f>
        <v>0</v>
      </c>
      <c r="I153" s="7" t="n">
        <f aca="false">D153</f>
        <v>0</v>
      </c>
      <c r="J153" s="7" t="n">
        <f aca="false">IF($F$2=$J$3,F153,0)</f>
        <v>0</v>
      </c>
    </row>
    <row r="154" customFormat="false" ht="12.8" hidden="false" customHeight="false" outlineLevel="0" collapsed="false">
      <c r="A154" s="0" t="s">
        <v>118</v>
      </c>
      <c r="B154" s="0" t="s">
        <v>227</v>
      </c>
      <c r="C154" s="6"/>
      <c r="D154" s="6"/>
      <c r="E154" s="6"/>
      <c r="F154" s="6"/>
      <c r="G154" s="0" t="s">
        <v>59</v>
      </c>
      <c r="H154" s="7" t="n">
        <f aca="false">C154</f>
        <v>0</v>
      </c>
      <c r="I154" s="7" t="n">
        <f aca="false">D154</f>
        <v>0</v>
      </c>
      <c r="J154" s="7" t="n">
        <f aca="false">IF($F$2=$J$3,F154,0)</f>
        <v>0</v>
      </c>
    </row>
    <row r="155" customFormat="false" ht="12.8" hidden="false" customHeight="false" outlineLevel="0" collapsed="false">
      <c r="A155" s="0" t="s">
        <v>121</v>
      </c>
      <c r="B155" s="0" t="s">
        <v>228</v>
      </c>
      <c r="C155" s="6"/>
      <c r="D155" s="6"/>
      <c r="E155" s="6"/>
      <c r="F155" s="6"/>
      <c r="G155" s="0" t="s">
        <v>59</v>
      </c>
      <c r="H155" s="7" t="n">
        <f aca="false">C155</f>
        <v>0</v>
      </c>
      <c r="I155" s="7" t="n">
        <f aca="false">D155</f>
        <v>0</v>
      </c>
      <c r="J155" s="7" t="n">
        <f aca="false">IF($F$2=$J$3,F155,0)</f>
        <v>0</v>
      </c>
    </row>
    <row r="156" customFormat="false" ht="12.8" hidden="false" customHeight="false" outlineLevel="0" collapsed="false">
      <c r="A156" s="0" t="s">
        <v>139</v>
      </c>
      <c r="B156" s="0" t="s">
        <v>229</v>
      </c>
      <c r="C156" s="6"/>
      <c r="D156" s="6"/>
      <c r="E156" s="6"/>
      <c r="F156" s="6"/>
      <c r="G156" s="0" t="s">
        <v>141</v>
      </c>
      <c r="H156" s="7" t="n">
        <f aca="false">C156</f>
        <v>0</v>
      </c>
      <c r="I156" s="7" t="n">
        <f aca="false">D156</f>
        <v>0</v>
      </c>
      <c r="J156" s="7" t="n">
        <f aca="false">IF($F$2=$J$3,F156,0)</f>
        <v>0</v>
      </c>
    </row>
    <row r="157" customFormat="false" ht="12.8" hidden="false" customHeight="false" outlineLevel="0" collapsed="false">
      <c r="A157" s="0" t="s">
        <v>139</v>
      </c>
      <c r="B157" s="0" t="s">
        <v>230</v>
      </c>
      <c r="C157" s="6"/>
      <c r="D157" s="6"/>
      <c r="E157" s="6"/>
      <c r="F157" s="6"/>
      <c r="G157" s="0" t="s">
        <v>141</v>
      </c>
      <c r="H157" s="7" t="n">
        <f aca="false">C157</f>
        <v>0</v>
      </c>
      <c r="I157" s="7" t="n">
        <f aca="false">D157</f>
        <v>0</v>
      </c>
      <c r="J157" s="7" t="n">
        <f aca="false">IF($F$2=$J$3,F157,0)</f>
        <v>0</v>
      </c>
    </row>
    <row r="158" customFormat="false" ht="12.8" hidden="false" customHeight="false" outlineLevel="0" collapsed="false">
      <c r="A158" s="0" t="s">
        <v>139</v>
      </c>
      <c r="B158" s="0" t="s">
        <v>231</v>
      </c>
      <c r="C158" s="6"/>
      <c r="D158" s="6"/>
      <c r="E158" s="6"/>
      <c r="F158" s="6"/>
      <c r="G158" s="0" t="s">
        <v>141</v>
      </c>
      <c r="H158" s="7" t="n">
        <f aca="false">C158</f>
        <v>0</v>
      </c>
      <c r="I158" s="7" t="n">
        <f aca="false">D158</f>
        <v>0</v>
      </c>
      <c r="J158" s="7" t="n">
        <f aca="false">IF($F$2=$J$3,F158,0)</f>
        <v>0</v>
      </c>
    </row>
    <row r="159" customFormat="false" ht="12.8" hidden="false" customHeight="false" outlineLevel="0" collapsed="false">
      <c r="A159" s="0" t="s">
        <v>144</v>
      </c>
      <c r="B159" s="0" t="s">
        <v>232</v>
      </c>
      <c r="C159" s="6"/>
      <c r="D159" s="6"/>
      <c r="E159" s="6"/>
      <c r="F159" s="6"/>
      <c r="G159" s="0" t="s">
        <v>141</v>
      </c>
      <c r="H159" s="7" t="n">
        <f aca="false">C159</f>
        <v>0</v>
      </c>
      <c r="I159" s="7" t="n">
        <f aca="false">D159</f>
        <v>0</v>
      </c>
      <c r="J159" s="7" t="n">
        <f aca="false">IF($F$2=$J$3,F159,0)</f>
        <v>0</v>
      </c>
    </row>
    <row r="160" customFormat="false" ht="12.8" hidden="false" customHeight="false" outlineLevel="0" collapsed="false">
      <c r="A160" s="0" t="s">
        <v>144</v>
      </c>
      <c r="B160" s="0" t="s">
        <v>233</v>
      </c>
      <c r="C160" s="6"/>
      <c r="D160" s="6"/>
      <c r="E160" s="6"/>
      <c r="F160" s="6"/>
      <c r="G160" s="0" t="s">
        <v>141</v>
      </c>
      <c r="H160" s="7" t="n">
        <f aca="false">C160</f>
        <v>0</v>
      </c>
      <c r="I160" s="7" t="n">
        <f aca="false">D160</f>
        <v>0</v>
      </c>
      <c r="J160" s="7" t="n">
        <f aca="false">IF($F$2=$J$3,F160,0)</f>
        <v>0</v>
      </c>
    </row>
    <row r="161" customFormat="false" ht="12.8" hidden="false" customHeight="false" outlineLevel="0" collapsed="false">
      <c r="A161" s="0" t="s">
        <v>144</v>
      </c>
      <c r="B161" s="0" t="s">
        <v>234</v>
      </c>
      <c r="C161" s="6"/>
      <c r="D161" s="6"/>
      <c r="E161" s="6"/>
      <c r="F161" s="6"/>
      <c r="G161" s="0" t="s">
        <v>141</v>
      </c>
      <c r="H161" s="7" t="n">
        <f aca="false">C161</f>
        <v>0</v>
      </c>
      <c r="I161" s="7" t="n">
        <f aca="false">D161</f>
        <v>0</v>
      </c>
      <c r="J161" s="7" t="n">
        <f aca="false">IF($F$2=$J$3,F161,0)</f>
        <v>0</v>
      </c>
    </row>
    <row r="162" customFormat="false" ht="12.8" hidden="false" customHeight="false" outlineLevel="0" collapsed="false">
      <c r="A162" s="0" t="s">
        <v>148</v>
      </c>
      <c r="B162" s="0" t="s">
        <v>235</v>
      </c>
      <c r="C162" s="6"/>
      <c r="D162" s="6"/>
      <c r="E162" s="6"/>
      <c r="F162" s="6"/>
      <c r="G162" s="0" t="s">
        <v>141</v>
      </c>
      <c r="H162" s="7" t="n">
        <f aca="false">C162</f>
        <v>0</v>
      </c>
      <c r="I162" s="7" t="n">
        <f aca="false">D162</f>
        <v>0</v>
      </c>
      <c r="J162" s="7" t="n">
        <f aca="false">IF($F$2=$J$3,F162,0)</f>
        <v>0</v>
      </c>
    </row>
    <row r="163" customFormat="false" ht="12.8" hidden="false" customHeight="false" outlineLevel="0" collapsed="false">
      <c r="A163" s="0" t="s">
        <v>148</v>
      </c>
      <c r="B163" s="0" t="s">
        <v>236</v>
      </c>
      <c r="C163" s="6"/>
      <c r="D163" s="6"/>
      <c r="E163" s="6"/>
      <c r="F163" s="6"/>
      <c r="G163" s="0" t="s">
        <v>141</v>
      </c>
      <c r="H163" s="7" t="n">
        <f aca="false">C163</f>
        <v>0</v>
      </c>
      <c r="I163" s="7" t="n">
        <f aca="false">D163</f>
        <v>0</v>
      </c>
      <c r="J163" s="7" t="n">
        <f aca="false">IF($F$2=$J$3,F163,0)</f>
        <v>0</v>
      </c>
    </row>
    <row r="164" customFormat="false" ht="12.8" hidden="false" customHeight="false" outlineLevel="0" collapsed="false">
      <c r="A164" s="0" t="s">
        <v>148</v>
      </c>
      <c r="B164" s="0" t="s">
        <v>237</v>
      </c>
      <c r="C164" s="6"/>
      <c r="D164" s="6"/>
      <c r="E164" s="6"/>
      <c r="F164" s="6"/>
      <c r="G164" s="0" t="s">
        <v>141</v>
      </c>
      <c r="H164" s="7" t="n">
        <f aca="false">C164</f>
        <v>0</v>
      </c>
      <c r="I164" s="7" t="n">
        <f aca="false">D164</f>
        <v>0</v>
      </c>
      <c r="J164" s="7" t="n">
        <f aca="false">IF($F$2=$J$3,F164,0)</f>
        <v>0</v>
      </c>
    </row>
    <row r="165" customFormat="false" ht="12.8" hidden="false" customHeight="false" outlineLevel="0" collapsed="false">
      <c r="A165" s="0" t="s">
        <v>238</v>
      </c>
      <c r="B165" s="0" t="s">
        <v>239</v>
      </c>
      <c r="C165" s="6"/>
      <c r="D165" s="6"/>
      <c r="E165" s="6"/>
      <c r="F165" s="6"/>
      <c r="G165" s="0" t="s">
        <v>38</v>
      </c>
      <c r="H165" s="7" t="n">
        <f aca="false">C165</f>
        <v>0</v>
      </c>
      <c r="I165" s="7" t="n">
        <f aca="false">D165</f>
        <v>0</v>
      </c>
      <c r="J165" s="7" t="n">
        <f aca="false">IF($F$2=$J$3,F165,0)</f>
        <v>0</v>
      </c>
    </row>
    <row r="166" customFormat="false" ht="12.8" hidden="false" customHeight="false" outlineLevel="0" collapsed="false">
      <c r="A166" s="0" t="s">
        <v>240</v>
      </c>
      <c r="B166" s="0" t="s">
        <v>241</v>
      </c>
      <c r="C166" s="6"/>
      <c r="D166" s="6"/>
      <c r="E166" s="6"/>
      <c r="F166" s="6"/>
      <c r="G166" s="0" t="s">
        <v>120</v>
      </c>
      <c r="H166" s="7" t="n">
        <f aca="false">C166</f>
        <v>0</v>
      </c>
      <c r="I166" s="7" t="n">
        <f aca="false">D166</f>
        <v>0</v>
      </c>
      <c r="J166" s="7" t="n">
        <f aca="false">IF($F$2=$J$3,F166,0)</f>
        <v>0</v>
      </c>
    </row>
    <row r="167" customFormat="false" ht="12.8" hidden="false" customHeight="false" outlineLevel="0" collapsed="false">
      <c r="C167" s="7"/>
      <c r="D167" s="7"/>
      <c r="E167" s="7"/>
      <c r="F167" s="7"/>
    </row>
    <row r="168" customFormat="false" ht="12.8" hidden="false" customHeight="false" outlineLevel="0" collapsed="false">
      <c r="A168" s="3" t="s">
        <v>242</v>
      </c>
      <c r="B168" s="3"/>
      <c r="C168" s="4" t="n">
        <f aca="false">IF(C170&lt;C177,C180,C170-C177+C180)</f>
        <v>2834903.8</v>
      </c>
      <c r="D168" s="4" t="n">
        <f aca="false">IF(D170&lt;D177,D180,D170-D177+D180)</f>
        <v>3799039.88</v>
      </c>
      <c r="E168" s="4" t="n">
        <f aca="false">IF(E170&lt;E177,E180,E170-E177+E180)</f>
        <v>3824678.07</v>
      </c>
      <c r="F168" s="4" t="n">
        <f aca="false">IF(F170&lt;F177,F180,F170-F177+F180)</f>
        <v>3799039.88</v>
      </c>
    </row>
    <row r="169" customFormat="false" ht="12.8" hidden="false" customHeight="false" outlineLevel="0" collapsed="false">
      <c r="C169" s="7"/>
      <c r="D169" s="7"/>
      <c r="E169" s="7"/>
      <c r="F169" s="7"/>
    </row>
    <row r="170" customFormat="false" ht="12.8" hidden="false" customHeight="false" outlineLevel="0" collapsed="false">
      <c r="A170" s="3" t="s">
        <v>243</v>
      </c>
      <c r="B170" s="3"/>
      <c r="C170" s="4" t="n">
        <f aca="false">SUM(C171:C175)</f>
        <v>2861963.89</v>
      </c>
      <c r="D170" s="4" t="n">
        <f aca="false">SUM(D171:D175)</f>
        <v>3814559.92</v>
      </c>
      <c r="E170" s="4" t="n">
        <f aca="false">SUM(E171:E175)</f>
        <v>3840198.11</v>
      </c>
      <c r="F170" s="4" t="n">
        <f aca="false">SUM(F171:F175)</f>
        <v>3814559.92</v>
      </c>
      <c r="H170" s="7" t="n">
        <f aca="false">C170</f>
        <v>2861963.89</v>
      </c>
      <c r="I170" s="7" t="n">
        <f aca="false">D170</f>
        <v>3814559.92</v>
      </c>
      <c r="J170" s="7" t="n">
        <f aca="false">IF($F$2=$J$3,F170,0)</f>
        <v>0</v>
      </c>
    </row>
    <row r="171" customFormat="false" ht="12.8" hidden="false" customHeight="false" outlineLevel="0" collapsed="false">
      <c r="A171" s="0" t="s">
        <v>244</v>
      </c>
      <c r="B171" s="0" t="s">
        <v>245</v>
      </c>
      <c r="C171" s="6"/>
      <c r="D171" s="6"/>
      <c r="E171" s="6"/>
      <c r="F171" s="6"/>
      <c r="G171" s="0" t="s">
        <v>246</v>
      </c>
    </row>
    <row r="172" customFormat="false" ht="12.8" hidden="false" customHeight="false" outlineLevel="0" collapsed="false">
      <c r="A172" s="0" t="s">
        <v>247</v>
      </c>
      <c r="B172" s="0" t="s">
        <v>248</v>
      </c>
      <c r="C172" s="6" t="n">
        <v>452979.04</v>
      </c>
      <c r="D172" s="6" t="n">
        <v>44671.63</v>
      </c>
      <c r="E172" s="6" t="n">
        <v>83455.61</v>
      </c>
      <c r="F172" s="6" t="n">
        <v>44671.63</v>
      </c>
      <c r="G172" s="0" t="s">
        <v>246</v>
      </c>
    </row>
    <row r="173" customFormat="false" ht="12.8" hidden="false" customHeight="false" outlineLevel="0" collapsed="false">
      <c r="A173" s="0" t="s">
        <v>249</v>
      </c>
      <c r="B173" s="0" t="s">
        <v>250</v>
      </c>
      <c r="C173" s="6"/>
      <c r="D173" s="6"/>
      <c r="E173" s="6"/>
      <c r="F173" s="6"/>
      <c r="G173" s="0" t="s">
        <v>246</v>
      </c>
    </row>
    <row r="174" customFormat="false" ht="12.8" hidden="false" customHeight="false" outlineLevel="0" collapsed="false">
      <c r="A174" s="0" t="s">
        <v>251</v>
      </c>
      <c r="B174" s="0" t="s">
        <v>252</v>
      </c>
      <c r="C174" s="6" t="n">
        <v>2408984.85</v>
      </c>
      <c r="D174" s="6" t="n">
        <v>3769888.29</v>
      </c>
      <c r="E174" s="6" t="n">
        <v>3756742.5</v>
      </c>
      <c r="F174" s="6" t="n">
        <v>3769888.29</v>
      </c>
      <c r="G174" s="0" t="s">
        <v>246</v>
      </c>
    </row>
    <row r="175" customFormat="false" ht="12.8" hidden="false" customHeight="false" outlineLevel="0" collapsed="false">
      <c r="A175" s="0" t="s">
        <v>253</v>
      </c>
      <c r="B175" s="0" t="s">
        <v>254</v>
      </c>
      <c r="C175" s="6"/>
      <c r="D175" s="6"/>
      <c r="E175" s="6"/>
      <c r="F175" s="6"/>
      <c r="G175" s="0" t="s">
        <v>246</v>
      </c>
    </row>
    <row r="176" customFormat="false" ht="12.8" hidden="false" customHeight="false" outlineLevel="0" collapsed="false">
      <c r="C176" s="7"/>
      <c r="D176" s="7"/>
      <c r="E176" s="7"/>
      <c r="F176" s="7"/>
    </row>
    <row r="177" customFormat="false" ht="12.8" hidden="false" customHeight="false" outlineLevel="0" collapsed="false">
      <c r="A177" s="3" t="s">
        <v>255</v>
      </c>
      <c r="B177" s="3"/>
      <c r="C177" s="4" t="n">
        <f aca="false">SUM(C178)</f>
        <v>27060.09</v>
      </c>
      <c r="D177" s="4" t="n">
        <f aca="false">SUM(D178)</f>
        <v>15520.04</v>
      </c>
      <c r="E177" s="4" t="n">
        <f aca="false">SUM(E178)</f>
        <v>15520.04</v>
      </c>
      <c r="F177" s="4" t="n">
        <f aca="false">SUM(F178)</f>
        <v>15520.04</v>
      </c>
      <c r="H177" s="7" t="n">
        <f aca="false">C177</f>
        <v>27060.09</v>
      </c>
      <c r="I177" s="7" t="n">
        <f aca="false">D177</f>
        <v>15520.04</v>
      </c>
      <c r="J177" s="7" t="n">
        <f aca="false">IF($F$2=$J$3,F177,0)</f>
        <v>0</v>
      </c>
    </row>
    <row r="178" customFormat="false" ht="12.8" hidden="false" customHeight="false" outlineLevel="0" collapsed="false">
      <c r="A178" s="0" t="s">
        <v>256</v>
      </c>
      <c r="B178" s="0" t="s">
        <v>257</v>
      </c>
      <c r="C178" s="6" t="n">
        <v>27060.09</v>
      </c>
      <c r="D178" s="6" t="n">
        <v>15520.04</v>
      </c>
      <c r="E178" s="6" t="n">
        <v>15520.04</v>
      </c>
      <c r="F178" s="6" t="n">
        <v>15520.04</v>
      </c>
      <c r="G178" s="0" t="s">
        <v>258</v>
      </c>
    </row>
    <row r="179" customFormat="false" ht="12.8" hidden="false" customHeight="false" outlineLevel="0" collapsed="false">
      <c r="C179" s="7"/>
      <c r="D179" s="7"/>
      <c r="E179" s="7"/>
      <c r="F179" s="7"/>
    </row>
    <row r="180" customFormat="false" ht="12.8" hidden="false" customHeight="false" outlineLevel="0" collapsed="false">
      <c r="A180" s="3" t="s">
        <v>259</v>
      </c>
      <c r="B180" s="3"/>
      <c r="C180" s="4" t="n">
        <f aca="false">SUM(C181:C192,C198:C204,C206:C207,C209,C213:C221)-SUM(C193:C197,C205,C208,C210:C212)</f>
        <v>0</v>
      </c>
      <c r="D180" s="4" t="n">
        <f aca="false">SUM(D181:D192,D198:D204,D206:D207,D209,D213:D221)-SUM(D193:D197,D205,D208,D210:D212)</f>
        <v>0</v>
      </c>
      <c r="E180" s="4" t="n">
        <f aca="false">SUM(E181:E192,E198:E204,E206:E207,E209,E213:E221)-SUM(E193:E197,E205,E208,E210:E212)</f>
        <v>0</v>
      </c>
      <c r="F180" s="4" t="n">
        <f aca="false">SUM(F181:F192,F198:F204,F206:F207,F209,F213:F221)-SUM(F193:F197,F205,F208,F210:F212)</f>
        <v>0</v>
      </c>
      <c r="H180" s="7" t="n">
        <f aca="false">C180</f>
        <v>0</v>
      </c>
      <c r="I180" s="7" t="n">
        <f aca="false">D180</f>
        <v>0</v>
      </c>
      <c r="J180" s="7" t="n">
        <f aca="false">IF($F$2=$J$3,F180,0)</f>
        <v>0</v>
      </c>
    </row>
    <row r="181" customFormat="false" ht="12.8" hidden="false" customHeight="false" outlineLevel="0" collapsed="false">
      <c r="A181" s="0" t="s">
        <v>260</v>
      </c>
      <c r="B181" s="0" t="s">
        <v>261</v>
      </c>
      <c r="C181" s="6"/>
      <c r="D181" s="6"/>
      <c r="E181" s="6"/>
      <c r="F181" s="6"/>
      <c r="G181" s="0" t="s">
        <v>262</v>
      </c>
    </row>
    <row r="182" customFormat="false" ht="12.8" hidden="false" customHeight="false" outlineLevel="0" collapsed="false">
      <c r="A182" s="0" t="s">
        <v>260</v>
      </c>
      <c r="B182" s="0" t="s">
        <v>263</v>
      </c>
      <c r="C182" s="6"/>
      <c r="D182" s="6"/>
      <c r="E182" s="6"/>
      <c r="F182" s="6"/>
      <c r="G182" s="0" t="s">
        <v>262</v>
      </c>
    </row>
    <row r="183" customFormat="false" ht="12.8" hidden="false" customHeight="false" outlineLevel="0" collapsed="false">
      <c r="A183" s="0" t="s">
        <v>260</v>
      </c>
      <c r="B183" s="0" t="s">
        <v>264</v>
      </c>
      <c r="C183" s="6"/>
      <c r="D183" s="6"/>
      <c r="E183" s="6"/>
      <c r="F183" s="6"/>
      <c r="G183" s="0" t="s">
        <v>262</v>
      </c>
    </row>
    <row r="184" customFormat="false" ht="12.8" hidden="false" customHeight="false" outlineLevel="0" collapsed="false">
      <c r="A184" s="0" t="s">
        <v>260</v>
      </c>
      <c r="B184" s="0" t="s">
        <v>265</v>
      </c>
      <c r="C184" s="6"/>
      <c r="D184" s="6"/>
      <c r="E184" s="6"/>
      <c r="F184" s="6"/>
      <c r="G184" s="0" t="s">
        <v>262</v>
      </c>
    </row>
    <row r="185" customFormat="false" ht="12.8" hidden="false" customHeight="false" outlineLevel="0" collapsed="false">
      <c r="A185" s="0" t="s">
        <v>266</v>
      </c>
      <c r="B185" s="0" t="s">
        <v>267</v>
      </c>
      <c r="C185" s="6"/>
      <c r="D185" s="6"/>
      <c r="E185" s="6"/>
      <c r="F185" s="6"/>
      <c r="G185" s="0" t="s">
        <v>262</v>
      </c>
    </row>
    <row r="186" customFormat="false" ht="12.8" hidden="false" customHeight="false" outlineLevel="0" collapsed="false">
      <c r="A186" s="0" t="s">
        <v>266</v>
      </c>
      <c r="B186" s="0" t="s">
        <v>268</v>
      </c>
      <c r="C186" s="6"/>
      <c r="D186" s="6"/>
      <c r="E186" s="6"/>
      <c r="F186" s="6"/>
      <c r="G186" s="0" t="s">
        <v>262</v>
      </c>
    </row>
    <row r="187" customFormat="false" ht="12.8" hidden="false" customHeight="false" outlineLevel="0" collapsed="false">
      <c r="A187" s="0" t="s">
        <v>266</v>
      </c>
      <c r="B187" s="0" t="s">
        <v>269</v>
      </c>
      <c r="C187" s="6"/>
      <c r="D187" s="6"/>
      <c r="E187" s="6"/>
      <c r="F187" s="6"/>
      <c r="G187" s="0" t="s">
        <v>262</v>
      </c>
    </row>
    <row r="188" customFormat="false" ht="12.8" hidden="false" customHeight="false" outlineLevel="0" collapsed="false">
      <c r="A188" s="0" t="s">
        <v>266</v>
      </c>
      <c r="B188" s="0" t="s">
        <v>270</v>
      </c>
      <c r="C188" s="6"/>
      <c r="D188" s="6"/>
      <c r="E188" s="6"/>
      <c r="F188" s="6"/>
      <c r="G188" s="0" t="s">
        <v>262</v>
      </c>
    </row>
    <row r="189" customFormat="false" ht="12.8" hidden="false" customHeight="false" outlineLevel="0" collapsed="false">
      <c r="A189" s="0" t="s">
        <v>271</v>
      </c>
      <c r="B189" s="0" t="s">
        <v>272</v>
      </c>
      <c r="C189" s="6"/>
      <c r="D189" s="6"/>
      <c r="E189" s="6"/>
      <c r="F189" s="6"/>
      <c r="G189" s="0" t="s">
        <v>262</v>
      </c>
    </row>
    <row r="190" customFormat="false" ht="12.8" hidden="false" customHeight="false" outlineLevel="0" collapsed="false">
      <c r="A190" s="0" t="s">
        <v>271</v>
      </c>
      <c r="B190" s="0" t="s">
        <v>273</v>
      </c>
      <c r="C190" s="6"/>
      <c r="D190" s="6"/>
      <c r="E190" s="6"/>
      <c r="F190" s="6"/>
      <c r="G190" s="0" t="s">
        <v>262</v>
      </c>
    </row>
    <row r="191" customFormat="false" ht="12.8" hidden="false" customHeight="false" outlineLevel="0" collapsed="false">
      <c r="A191" s="0" t="s">
        <v>271</v>
      </c>
      <c r="B191" s="0" t="s">
        <v>274</v>
      </c>
      <c r="C191" s="6"/>
      <c r="D191" s="6"/>
      <c r="E191" s="6"/>
      <c r="F191" s="6"/>
      <c r="G191" s="0" t="s">
        <v>262</v>
      </c>
    </row>
    <row r="192" customFormat="false" ht="12.8" hidden="false" customHeight="false" outlineLevel="0" collapsed="false">
      <c r="A192" s="0" t="s">
        <v>271</v>
      </c>
      <c r="B192" s="0" t="s">
        <v>275</v>
      </c>
      <c r="C192" s="6"/>
      <c r="D192" s="6"/>
      <c r="E192" s="6"/>
      <c r="F192" s="6"/>
      <c r="G192" s="0" t="s">
        <v>262</v>
      </c>
    </row>
    <row r="193" customFormat="false" ht="12.8" hidden="false" customHeight="false" outlineLevel="0" collapsed="false">
      <c r="A193" s="0" t="s">
        <v>276</v>
      </c>
      <c r="B193" s="0" t="s">
        <v>277</v>
      </c>
      <c r="C193" s="6"/>
      <c r="D193" s="6"/>
      <c r="E193" s="6"/>
      <c r="F193" s="6"/>
      <c r="G193" s="0" t="s">
        <v>262</v>
      </c>
    </row>
    <row r="194" customFormat="false" ht="12.8" hidden="false" customHeight="false" outlineLevel="0" collapsed="false">
      <c r="A194" s="0" t="s">
        <v>276</v>
      </c>
      <c r="B194" s="0" t="s">
        <v>278</v>
      </c>
      <c r="C194" s="6"/>
      <c r="D194" s="6"/>
      <c r="E194" s="6"/>
      <c r="F194" s="6"/>
      <c r="G194" s="0" t="s">
        <v>262</v>
      </c>
    </row>
    <row r="195" customFormat="false" ht="12.8" hidden="false" customHeight="false" outlineLevel="0" collapsed="false">
      <c r="A195" s="0" t="s">
        <v>276</v>
      </c>
      <c r="B195" s="0" t="s">
        <v>279</v>
      </c>
      <c r="C195" s="6"/>
      <c r="D195" s="6"/>
      <c r="E195" s="6"/>
      <c r="F195" s="6"/>
      <c r="G195" s="0" t="s">
        <v>262</v>
      </c>
    </row>
    <row r="196" customFormat="false" ht="12.8" hidden="false" customHeight="false" outlineLevel="0" collapsed="false">
      <c r="A196" s="0" t="s">
        <v>276</v>
      </c>
      <c r="B196" s="0" t="s">
        <v>280</v>
      </c>
      <c r="C196" s="6"/>
      <c r="D196" s="6"/>
      <c r="E196" s="6"/>
      <c r="F196" s="6"/>
      <c r="G196" s="0" t="s">
        <v>262</v>
      </c>
    </row>
    <row r="197" customFormat="false" ht="12.8" hidden="false" customHeight="false" outlineLevel="0" collapsed="false">
      <c r="A197" s="0" t="s">
        <v>276</v>
      </c>
      <c r="B197" s="0" t="s">
        <v>281</v>
      </c>
      <c r="C197" s="6"/>
      <c r="D197" s="6"/>
      <c r="E197" s="6"/>
      <c r="F197" s="6"/>
      <c r="G197" s="0" t="s">
        <v>262</v>
      </c>
    </row>
    <row r="198" customFormat="false" ht="12.8" hidden="false" customHeight="false" outlineLevel="0" collapsed="false">
      <c r="A198" s="0" t="s">
        <v>282</v>
      </c>
      <c r="B198" s="0" t="s">
        <v>283</v>
      </c>
      <c r="C198" s="6"/>
      <c r="D198" s="6"/>
      <c r="E198" s="6"/>
      <c r="F198" s="6"/>
      <c r="G198" s="0" t="s">
        <v>262</v>
      </c>
    </row>
    <row r="199" customFormat="false" ht="12.8" hidden="false" customHeight="false" outlineLevel="0" collapsed="false">
      <c r="A199" s="0" t="s">
        <v>284</v>
      </c>
      <c r="B199" s="0" t="s">
        <v>285</v>
      </c>
      <c r="C199" s="6"/>
      <c r="D199" s="6"/>
      <c r="E199" s="6"/>
      <c r="F199" s="6"/>
      <c r="G199" s="0" t="s">
        <v>262</v>
      </c>
    </row>
    <row r="200" customFormat="false" ht="12.8" hidden="false" customHeight="false" outlineLevel="0" collapsed="false">
      <c r="A200" s="0" t="s">
        <v>286</v>
      </c>
      <c r="B200" s="0" t="s">
        <v>287</v>
      </c>
      <c r="C200" s="6"/>
      <c r="D200" s="6"/>
      <c r="E200" s="6"/>
      <c r="F200" s="6"/>
      <c r="G200" s="0" t="s">
        <v>262</v>
      </c>
    </row>
    <row r="201" customFormat="false" ht="12.8" hidden="false" customHeight="false" outlineLevel="0" collapsed="false">
      <c r="A201" s="0" t="s">
        <v>288</v>
      </c>
      <c r="B201" s="0" t="s">
        <v>289</v>
      </c>
      <c r="C201" s="6"/>
      <c r="D201" s="6"/>
      <c r="E201" s="6"/>
      <c r="F201" s="6"/>
      <c r="G201" s="0" t="s">
        <v>262</v>
      </c>
    </row>
    <row r="202" customFormat="false" ht="12.8" hidden="false" customHeight="false" outlineLevel="0" collapsed="false">
      <c r="A202" s="0" t="s">
        <v>290</v>
      </c>
      <c r="B202" s="0" t="s">
        <v>291</v>
      </c>
      <c r="C202" s="6"/>
      <c r="D202" s="6"/>
      <c r="E202" s="6"/>
      <c r="F202" s="6"/>
      <c r="G202" s="0" t="s">
        <v>262</v>
      </c>
    </row>
    <row r="203" customFormat="false" ht="12.8" hidden="false" customHeight="false" outlineLevel="0" collapsed="false">
      <c r="A203" s="0" t="s">
        <v>292</v>
      </c>
      <c r="B203" s="0" t="s">
        <v>293</v>
      </c>
      <c r="C203" s="6"/>
      <c r="D203" s="6"/>
      <c r="E203" s="6"/>
      <c r="F203" s="6"/>
      <c r="G203" s="0" t="s">
        <v>262</v>
      </c>
    </row>
    <row r="204" customFormat="false" ht="12.8" hidden="false" customHeight="false" outlineLevel="0" collapsed="false">
      <c r="A204" s="0" t="s">
        <v>294</v>
      </c>
      <c r="B204" s="0" t="s">
        <v>295</v>
      </c>
      <c r="C204" s="6"/>
      <c r="D204" s="6"/>
      <c r="E204" s="6"/>
      <c r="F204" s="6"/>
      <c r="G204" s="0" t="s">
        <v>262</v>
      </c>
    </row>
    <row r="205" customFormat="false" ht="12.8" hidden="false" customHeight="false" outlineLevel="0" collapsed="false">
      <c r="A205" s="0" t="s">
        <v>296</v>
      </c>
      <c r="B205" s="0" t="s">
        <v>297</v>
      </c>
      <c r="C205" s="6"/>
      <c r="D205" s="6"/>
      <c r="E205" s="6"/>
      <c r="F205" s="6"/>
      <c r="G205" s="0" t="s">
        <v>262</v>
      </c>
    </row>
    <row r="206" customFormat="false" ht="12.8" hidden="false" customHeight="false" outlineLevel="0" collapsed="false">
      <c r="A206" s="0" t="s">
        <v>298</v>
      </c>
      <c r="B206" s="0" t="s">
        <v>299</v>
      </c>
      <c r="C206" s="6"/>
      <c r="D206" s="6"/>
      <c r="E206" s="6"/>
      <c r="F206" s="6"/>
      <c r="G206" s="0" t="s">
        <v>262</v>
      </c>
    </row>
    <row r="207" customFormat="false" ht="12.8" hidden="false" customHeight="false" outlineLevel="0" collapsed="false">
      <c r="A207" s="0" t="s">
        <v>300</v>
      </c>
      <c r="B207" s="0" t="s">
        <v>301</v>
      </c>
      <c r="C207" s="6"/>
      <c r="D207" s="6"/>
      <c r="E207" s="6"/>
      <c r="F207" s="6"/>
      <c r="G207" s="0" t="s">
        <v>262</v>
      </c>
    </row>
    <row r="208" customFormat="false" ht="12.8" hidden="false" customHeight="false" outlineLevel="0" collapsed="false">
      <c r="A208" s="0" t="s">
        <v>302</v>
      </c>
      <c r="B208" s="0" t="s">
        <v>303</v>
      </c>
      <c r="C208" s="6"/>
      <c r="D208" s="6"/>
      <c r="E208" s="6"/>
      <c r="F208" s="6"/>
      <c r="G208" s="0" t="s">
        <v>262</v>
      </c>
    </row>
    <row r="209" customFormat="false" ht="12.8" hidden="false" customHeight="false" outlineLevel="0" collapsed="false">
      <c r="A209" s="0" t="s">
        <v>304</v>
      </c>
      <c r="B209" s="0" t="s">
        <v>305</v>
      </c>
      <c r="C209" s="6"/>
      <c r="D209" s="6"/>
      <c r="E209" s="6"/>
      <c r="F209" s="6"/>
      <c r="G209" s="0" t="s">
        <v>262</v>
      </c>
    </row>
    <row r="210" customFormat="false" ht="12.8" hidden="false" customHeight="false" outlineLevel="0" collapsed="false">
      <c r="A210" s="0" t="s">
        <v>306</v>
      </c>
      <c r="B210" s="0" t="s">
        <v>307</v>
      </c>
      <c r="C210" s="6"/>
      <c r="D210" s="6"/>
      <c r="E210" s="6"/>
      <c r="F210" s="6"/>
      <c r="G210" s="0" t="s">
        <v>262</v>
      </c>
    </row>
    <row r="211" customFormat="false" ht="12.8" hidden="false" customHeight="false" outlineLevel="0" collapsed="false">
      <c r="A211" s="0" t="s">
        <v>306</v>
      </c>
      <c r="B211" s="0" t="s">
        <v>308</v>
      </c>
      <c r="C211" s="6"/>
      <c r="D211" s="6"/>
      <c r="E211" s="6"/>
      <c r="F211" s="6"/>
      <c r="G211" s="0" t="s">
        <v>262</v>
      </c>
    </row>
    <row r="212" customFormat="false" ht="12.8" hidden="false" customHeight="false" outlineLevel="0" collapsed="false">
      <c r="A212" s="0" t="s">
        <v>306</v>
      </c>
      <c r="B212" s="0" t="s">
        <v>309</v>
      </c>
      <c r="C212" s="6"/>
      <c r="D212" s="6"/>
      <c r="E212" s="6"/>
      <c r="F212" s="6"/>
      <c r="G212" s="0" t="s">
        <v>262</v>
      </c>
    </row>
    <row r="213" customFormat="false" ht="12.8" hidden="false" customHeight="false" outlineLevel="0" collapsed="false">
      <c r="A213" s="0" t="s">
        <v>260</v>
      </c>
      <c r="B213" s="0" t="s">
        <v>310</v>
      </c>
      <c r="C213" s="6"/>
      <c r="D213" s="6"/>
      <c r="E213" s="6"/>
      <c r="F213" s="6"/>
      <c r="G213" s="0" t="s">
        <v>262</v>
      </c>
    </row>
    <row r="214" customFormat="false" ht="12.8" hidden="false" customHeight="false" outlineLevel="0" collapsed="false">
      <c r="A214" s="0" t="s">
        <v>260</v>
      </c>
      <c r="B214" s="0" t="s">
        <v>311</v>
      </c>
      <c r="C214" s="6"/>
      <c r="D214" s="6"/>
      <c r="E214" s="6"/>
      <c r="F214" s="6"/>
      <c r="G214" s="0" t="s">
        <v>262</v>
      </c>
    </row>
    <row r="215" customFormat="false" ht="12.8" hidden="false" customHeight="false" outlineLevel="0" collapsed="false">
      <c r="A215" s="0" t="s">
        <v>312</v>
      </c>
      <c r="B215" s="0" t="s">
        <v>313</v>
      </c>
      <c r="C215" s="6"/>
      <c r="D215" s="6"/>
      <c r="E215" s="6"/>
      <c r="F215" s="6"/>
      <c r="G215" s="0" t="s">
        <v>262</v>
      </c>
    </row>
    <row r="216" customFormat="false" ht="12.8" hidden="false" customHeight="false" outlineLevel="0" collapsed="false">
      <c r="A216" s="0" t="s">
        <v>312</v>
      </c>
      <c r="B216" s="0" t="s">
        <v>314</v>
      </c>
      <c r="C216" s="6"/>
      <c r="D216" s="6"/>
      <c r="E216" s="6"/>
      <c r="F216" s="6"/>
      <c r="G216" s="0" t="s">
        <v>262</v>
      </c>
    </row>
    <row r="217" customFormat="false" ht="12.8" hidden="false" customHeight="false" outlineLevel="0" collapsed="false">
      <c r="A217" s="0" t="s">
        <v>266</v>
      </c>
      <c r="B217" s="0" t="s">
        <v>315</v>
      </c>
      <c r="C217" s="6"/>
      <c r="D217" s="6"/>
      <c r="E217" s="6"/>
      <c r="F217" s="6"/>
      <c r="G217" s="0" t="s">
        <v>262</v>
      </c>
    </row>
    <row r="218" customFormat="false" ht="12.8" hidden="false" customHeight="false" outlineLevel="0" collapsed="false">
      <c r="A218" s="0" t="s">
        <v>266</v>
      </c>
      <c r="B218" s="0" t="s">
        <v>316</v>
      </c>
      <c r="C218" s="6"/>
      <c r="D218" s="6"/>
      <c r="E218" s="6"/>
      <c r="F218" s="6"/>
      <c r="G218" s="0" t="s">
        <v>262</v>
      </c>
    </row>
    <row r="219" customFormat="false" ht="12.8" hidden="false" customHeight="false" outlineLevel="0" collapsed="false">
      <c r="A219" s="0" t="s">
        <v>317</v>
      </c>
      <c r="B219" s="0" t="s">
        <v>318</v>
      </c>
      <c r="C219" s="6"/>
      <c r="D219" s="6"/>
      <c r="E219" s="6"/>
      <c r="F219" s="6"/>
      <c r="G219" s="0" t="s">
        <v>262</v>
      </c>
    </row>
    <row r="220" customFormat="false" ht="12.8" hidden="false" customHeight="false" outlineLevel="0" collapsed="false">
      <c r="A220" s="0" t="s">
        <v>317</v>
      </c>
      <c r="B220" s="0" t="s">
        <v>319</v>
      </c>
      <c r="C220" s="6"/>
      <c r="D220" s="6"/>
      <c r="E220" s="6"/>
      <c r="F220" s="6"/>
      <c r="G220" s="0" t="s">
        <v>262</v>
      </c>
    </row>
    <row r="221" customFormat="false" ht="12.8" hidden="false" customHeight="false" outlineLevel="0" collapsed="false">
      <c r="A221" s="0" t="s">
        <v>320</v>
      </c>
      <c r="B221" s="0" t="s">
        <v>321</v>
      </c>
      <c r="C221" s="6"/>
      <c r="D221" s="6"/>
      <c r="E221" s="6"/>
      <c r="F221" s="6"/>
      <c r="G221" s="0" t="s">
        <v>262</v>
      </c>
    </row>
    <row r="222" customFormat="false" ht="12.8" hidden="false" customHeight="false" outlineLevel="0" collapsed="false">
      <c r="C222" s="7"/>
      <c r="D222" s="7"/>
      <c r="E222" s="7"/>
      <c r="F222" s="7"/>
    </row>
    <row r="223" customFormat="false" ht="12.8" hidden="false" customHeight="false" outlineLevel="0" collapsed="false">
      <c r="A223" s="3" t="s">
        <v>322</v>
      </c>
      <c r="B223" s="3"/>
      <c r="C223" s="4" t="n">
        <f aca="false">C3-C168</f>
        <v>-2834903.8</v>
      </c>
      <c r="D223" s="4" t="n">
        <f aca="false">D3-D168</f>
        <v>-3799039.88</v>
      </c>
      <c r="E223" s="4" t="n">
        <f aca="false">E3-E168</f>
        <v>-3824678.07</v>
      </c>
      <c r="F223" s="4" t="n">
        <f aca="false">F3-F168</f>
        <v>-3799039.88</v>
      </c>
      <c r="H223" s="7" t="n">
        <f aca="false">C223</f>
        <v>-2834903.8</v>
      </c>
      <c r="I223" s="7" t="n">
        <f aca="false">D223</f>
        <v>-3799039.88</v>
      </c>
      <c r="J223" s="7" t="n">
        <f aca="false">IF($F$2=$J$3,F223,0)</f>
        <v>0</v>
      </c>
    </row>
    <row r="224" customFormat="false" ht="12.8" hidden="false" customHeight="false" outlineLevel="0" collapsed="false">
      <c r="C224" s="7"/>
      <c r="D224" s="7"/>
      <c r="E224" s="7"/>
      <c r="F224" s="7"/>
    </row>
    <row r="225" customFormat="false" ht="12.8" hidden="false" customHeight="false" outlineLevel="0" collapsed="false">
      <c r="A225" s="3" t="s">
        <v>323</v>
      </c>
      <c r="B225" s="3"/>
      <c r="C225" s="4" t="n">
        <f aca="false">SUM(C226:C277)</f>
        <v>708490.71</v>
      </c>
      <c r="D225" s="4" t="n">
        <f aca="false">SUM(D226:D277)</f>
        <v>556768.21</v>
      </c>
      <c r="E225" s="4" t="n">
        <f aca="false">SUM(E226:E277)</f>
        <v>562015.67</v>
      </c>
      <c r="F225" s="4" t="n">
        <f aca="false">SUM(F226:F277)</f>
        <v>556768.21</v>
      </c>
      <c r="H225" s="7" t="n">
        <f aca="false">C225</f>
        <v>708490.71</v>
      </c>
      <c r="I225" s="7" t="n">
        <f aca="false">D225</f>
        <v>556768.21</v>
      </c>
      <c r="J225" s="7" t="n">
        <f aca="false">IF($F$2=$J$3,F225,0)</f>
        <v>0</v>
      </c>
    </row>
    <row r="226" customFormat="false" ht="12.8" hidden="false" customHeight="false" outlineLevel="0" collapsed="false">
      <c r="A226" s="0" t="s">
        <v>324</v>
      </c>
      <c r="B226" s="0" t="s">
        <v>325</v>
      </c>
      <c r="C226" s="6"/>
      <c r="D226" s="6"/>
      <c r="E226" s="6"/>
      <c r="F226" s="6"/>
      <c r="G226" s="0" t="s">
        <v>326</v>
      </c>
    </row>
    <row r="227" customFormat="false" ht="12.8" hidden="false" customHeight="false" outlineLevel="0" collapsed="false">
      <c r="A227" s="0" t="s">
        <v>327</v>
      </c>
      <c r="B227" s="0" t="s">
        <v>328</v>
      </c>
      <c r="C227" s="6"/>
      <c r="D227" s="6"/>
      <c r="E227" s="6"/>
      <c r="F227" s="6"/>
      <c r="G227" s="0" t="s">
        <v>12</v>
      </c>
    </row>
    <row r="228" customFormat="false" ht="12.8" hidden="false" customHeight="false" outlineLevel="0" collapsed="false">
      <c r="A228" s="0" t="s">
        <v>329</v>
      </c>
      <c r="B228" s="0" t="s">
        <v>330</v>
      </c>
      <c r="C228" s="6"/>
      <c r="D228" s="6"/>
      <c r="E228" s="6"/>
      <c r="F228" s="6"/>
      <c r="G228" s="0" t="s">
        <v>326</v>
      </c>
    </row>
    <row r="229" customFormat="false" ht="12.8" hidden="false" customHeight="false" outlineLevel="0" collapsed="false">
      <c r="A229" s="0" t="s">
        <v>331</v>
      </c>
      <c r="B229" s="0" t="s">
        <v>332</v>
      </c>
      <c r="C229" s="6"/>
      <c r="D229" s="6"/>
      <c r="E229" s="6"/>
      <c r="F229" s="6"/>
      <c r="G229" s="0" t="s">
        <v>12</v>
      </c>
    </row>
    <row r="230" customFormat="false" ht="12.8" hidden="false" customHeight="false" outlineLevel="0" collapsed="false">
      <c r="A230" s="0" t="s">
        <v>333</v>
      </c>
      <c r="B230" s="0" t="s">
        <v>334</v>
      </c>
      <c r="C230" s="6"/>
      <c r="D230" s="6"/>
      <c r="E230" s="6"/>
      <c r="F230" s="6"/>
      <c r="G230" s="0" t="s">
        <v>326</v>
      </c>
    </row>
    <row r="231" customFormat="false" ht="12.8" hidden="false" customHeight="false" outlineLevel="0" collapsed="false">
      <c r="A231" s="0" t="s">
        <v>335</v>
      </c>
      <c r="B231" s="0" t="s">
        <v>336</v>
      </c>
      <c r="C231" s="6"/>
      <c r="D231" s="6"/>
      <c r="E231" s="6"/>
      <c r="F231" s="6"/>
      <c r="G231" s="0" t="s">
        <v>12</v>
      </c>
    </row>
    <row r="232" customFormat="false" ht="12.8" hidden="false" customHeight="false" outlineLevel="0" collapsed="false">
      <c r="A232" s="0" t="s">
        <v>337</v>
      </c>
      <c r="B232" s="0" t="s">
        <v>338</v>
      </c>
      <c r="C232" s="6"/>
      <c r="D232" s="6"/>
      <c r="E232" s="6"/>
      <c r="F232" s="6"/>
      <c r="G232" s="0" t="s">
        <v>326</v>
      </c>
    </row>
    <row r="233" customFormat="false" ht="12.8" hidden="false" customHeight="false" outlineLevel="0" collapsed="false">
      <c r="A233" s="0" t="s">
        <v>339</v>
      </c>
      <c r="B233" s="0" t="s">
        <v>340</v>
      </c>
      <c r="C233" s="6"/>
      <c r="D233" s="6"/>
      <c r="E233" s="6"/>
      <c r="F233" s="6"/>
      <c r="G233" s="0" t="s">
        <v>12</v>
      </c>
    </row>
    <row r="234" customFormat="false" ht="12.8" hidden="false" customHeight="false" outlineLevel="0" collapsed="false">
      <c r="A234" s="0" t="s">
        <v>341</v>
      </c>
      <c r="B234" s="0" t="s">
        <v>342</v>
      </c>
      <c r="C234" s="6"/>
      <c r="D234" s="6"/>
      <c r="E234" s="6"/>
      <c r="F234" s="6"/>
      <c r="G234" s="0" t="s">
        <v>326</v>
      </c>
    </row>
    <row r="235" customFormat="false" ht="12.8" hidden="false" customHeight="false" outlineLevel="0" collapsed="false">
      <c r="A235" s="0" t="s">
        <v>343</v>
      </c>
      <c r="B235" s="0" t="s">
        <v>344</v>
      </c>
      <c r="C235" s="6"/>
      <c r="D235" s="6"/>
      <c r="E235" s="6"/>
      <c r="F235" s="6"/>
      <c r="G235" s="0" t="s">
        <v>12</v>
      </c>
    </row>
    <row r="236" customFormat="false" ht="12.8" hidden="false" customHeight="false" outlineLevel="0" collapsed="false">
      <c r="A236" s="0" t="s">
        <v>345</v>
      </c>
      <c r="B236" s="0" t="s">
        <v>346</v>
      </c>
      <c r="C236" s="6"/>
      <c r="D236" s="6"/>
      <c r="E236" s="6"/>
      <c r="F236" s="6"/>
      <c r="G236" s="0" t="s">
        <v>326</v>
      </c>
    </row>
    <row r="237" customFormat="false" ht="12.8" hidden="false" customHeight="false" outlineLevel="0" collapsed="false">
      <c r="A237" s="0" t="s">
        <v>347</v>
      </c>
      <c r="B237" s="0" t="s">
        <v>348</v>
      </c>
      <c r="C237" s="6"/>
      <c r="D237" s="6"/>
      <c r="E237" s="6"/>
      <c r="F237" s="6"/>
      <c r="G237" s="0" t="s">
        <v>12</v>
      </c>
    </row>
    <row r="238" customFormat="false" ht="12.8" hidden="false" customHeight="false" outlineLevel="0" collapsed="false">
      <c r="A238" s="0" t="s">
        <v>349</v>
      </c>
      <c r="B238" s="0" t="s">
        <v>350</v>
      </c>
      <c r="C238" s="6"/>
      <c r="D238" s="6"/>
      <c r="E238" s="6"/>
      <c r="F238" s="6"/>
      <c r="G238" s="0" t="s">
        <v>351</v>
      </c>
    </row>
    <row r="239" customFormat="false" ht="12.8" hidden="false" customHeight="false" outlineLevel="0" collapsed="false">
      <c r="A239" s="0" t="s">
        <v>349</v>
      </c>
      <c r="B239" s="0" t="s">
        <v>352</v>
      </c>
      <c r="C239" s="6"/>
      <c r="D239" s="6"/>
      <c r="E239" s="6"/>
      <c r="F239" s="6"/>
      <c r="G239" s="0" t="s">
        <v>351</v>
      </c>
    </row>
    <row r="240" customFormat="false" ht="12.8" hidden="false" customHeight="false" outlineLevel="0" collapsed="false">
      <c r="A240" s="0" t="s">
        <v>349</v>
      </c>
      <c r="B240" s="0" t="s">
        <v>353</v>
      </c>
      <c r="C240" s="6"/>
      <c r="D240" s="6"/>
      <c r="E240" s="6"/>
      <c r="F240" s="6"/>
      <c r="G240" s="0" t="s">
        <v>351</v>
      </c>
    </row>
    <row r="241" customFormat="false" ht="12.8" hidden="false" customHeight="false" outlineLevel="0" collapsed="false">
      <c r="A241" s="0" t="s">
        <v>349</v>
      </c>
      <c r="B241" s="0" t="s">
        <v>354</v>
      </c>
      <c r="C241" s="6"/>
      <c r="D241" s="6"/>
      <c r="E241" s="6"/>
      <c r="F241" s="6"/>
      <c r="G241" s="0" t="s">
        <v>351</v>
      </c>
    </row>
    <row r="242" customFormat="false" ht="12.8" hidden="false" customHeight="false" outlineLevel="0" collapsed="false">
      <c r="A242" s="0" t="s">
        <v>355</v>
      </c>
      <c r="B242" s="0" t="s">
        <v>356</v>
      </c>
      <c r="C242" s="6"/>
      <c r="D242" s="6"/>
      <c r="E242" s="6"/>
      <c r="F242" s="6"/>
      <c r="G242" s="0" t="s">
        <v>326</v>
      </c>
    </row>
    <row r="243" customFormat="false" ht="12.8" hidden="false" customHeight="false" outlineLevel="0" collapsed="false">
      <c r="A243" s="0" t="s">
        <v>357</v>
      </c>
      <c r="B243" s="0" t="s">
        <v>358</v>
      </c>
      <c r="C243" s="6"/>
      <c r="D243" s="6"/>
      <c r="E243" s="6"/>
      <c r="F243" s="6"/>
      <c r="G243" s="0" t="s">
        <v>12</v>
      </c>
    </row>
    <row r="244" customFormat="false" ht="12.8" hidden="false" customHeight="false" outlineLevel="0" collapsed="false">
      <c r="A244" s="0" t="s">
        <v>359</v>
      </c>
      <c r="B244" s="0" t="s">
        <v>360</v>
      </c>
      <c r="C244" s="6"/>
      <c r="D244" s="6"/>
      <c r="E244" s="6"/>
      <c r="F244" s="6"/>
      <c r="G244" s="0" t="s">
        <v>326</v>
      </c>
    </row>
    <row r="245" customFormat="false" ht="12.8" hidden="false" customHeight="false" outlineLevel="0" collapsed="false">
      <c r="A245" s="0" t="s">
        <v>361</v>
      </c>
      <c r="B245" s="0" t="s">
        <v>362</v>
      </c>
      <c r="C245" s="6"/>
      <c r="D245" s="6"/>
      <c r="E245" s="6"/>
      <c r="F245" s="6"/>
      <c r="G245" s="0" t="s">
        <v>12</v>
      </c>
    </row>
    <row r="246" customFormat="false" ht="12.8" hidden="false" customHeight="false" outlineLevel="0" collapsed="false">
      <c r="A246" s="0" t="s">
        <v>363</v>
      </c>
      <c r="B246" s="0" t="s">
        <v>364</v>
      </c>
      <c r="C246" s="6"/>
      <c r="D246" s="6"/>
      <c r="E246" s="6"/>
      <c r="F246" s="6"/>
      <c r="G246" s="0" t="s">
        <v>326</v>
      </c>
    </row>
    <row r="247" customFormat="false" ht="12.8" hidden="false" customHeight="false" outlineLevel="0" collapsed="false">
      <c r="A247" s="0" t="s">
        <v>365</v>
      </c>
      <c r="B247" s="0" t="s">
        <v>366</v>
      </c>
      <c r="C247" s="6"/>
      <c r="D247" s="6"/>
      <c r="E247" s="6"/>
      <c r="F247" s="6"/>
      <c r="G247" s="0" t="s">
        <v>12</v>
      </c>
    </row>
    <row r="248" customFormat="false" ht="12.8" hidden="false" customHeight="false" outlineLevel="0" collapsed="false">
      <c r="A248" s="0" t="s">
        <v>367</v>
      </c>
      <c r="B248" s="0" t="s">
        <v>368</v>
      </c>
      <c r="C248" s="6"/>
      <c r="D248" s="6"/>
      <c r="E248" s="6"/>
      <c r="F248" s="6"/>
      <c r="G248" s="0" t="s">
        <v>326</v>
      </c>
    </row>
    <row r="249" customFormat="false" ht="12.8" hidden="false" customHeight="false" outlineLevel="0" collapsed="false">
      <c r="A249" s="0" t="s">
        <v>369</v>
      </c>
      <c r="B249" s="0" t="s">
        <v>370</v>
      </c>
      <c r="C249" s="6"/>
      <c r="D249" s="6"/>
      <c r="E249" s="6"/>
      <c r="F249" s="6"/>
      <c r="G249" s="0" t="s">
        <v>12</v>
      </c>
    </row>
    <row r="250" customFormat="false" ht="12.8" hidden="false" customHeight="false" outlineLevel="0" collapsed="false">
      <c r="A250" s="0" t="s">
        <v>371</v>
      </c>
      <c r="B250" s="0" t="s">
        <v>372</v>
      </c>
      <c r="C250" s="6"/>
      <c r="D250" s="6" t="n">
        <v>214046.02</v>
      </c>
      <c r="E250" s="6" t="n">
        <v>74620.32</v>
      </c>
      <c r="F250" s="6" t="n">
        <v>214046.02</v>
      </c>
      <c r="G250" s="0" t="s">
        <v>373</v>
      </c>
    </row>
    <row r="251" customFormat="false" ht="12.8" hidden="false" customHeight="false" outlineLevel="0" collapsed="false">
      <c r="A251" s="0" t="s">
        <v>324</v>
      </c>
      <c r="B251" s="0" t="s">
        <v>374</v>
      </c>
      <c r="C251" s="6"/>
      <c r="D251" s="6"/>
      <c r="E251" s="6"/>
      <c r="F251" s="6"/>
      <c r="G251" s="0" t="s">
        <v>326</v>
      </c>
    </row>
    <row r="252" customFormat="false" ht="12.8" hidden="false" customHeight="false" outlineLevel="0" collapsed="false">
      <c r="A252" s="0" t="s">
        <v>327</v>
      </c>
      <c r="B252" s="0" t="s">
        <v>375</v>
      </c>
      <c r="C252" s="6"/>
      <c r="D252" s="6"/>
      <c r="E252" s="6"/>
      <c r="F252" s="6"/>
      <c r="G252" s="0" t="s">
        <v>12</v>
      </c>
    </row>
    <row r="253" customFormat="false" ht="12.8" hidden="false" customHeight="false" outlineLevel="0" collapsed="false">
      <c r="A253" s="0" t="s">
        <v>329</v>
      </c>
      <c r="B253" s="0" t="s">
        <v>376</v>
      </c>
      <c r="C253" s="6"/>
      <c r="D253" s="6"/>
      <c r="E253" s="6"/>
      <c r="F253" s="6"/>
      <c r="G253" s="0" t="s">
        <v>326</v>
      </c>
    </row>
    <row r="254" customFormat="false" ht="12.8" hidden="false" customHeight="false" outlineLevel="0" collapsed="false">
      <c r="A254" s="0" t="s">
        <v>331</v>
      </c>
      <c r="B254" s="0" t="s">
        <v>377</v>
      </c>
      <c r="C254" s="6"/>
      <c r="D254" s="6"/>
      <c r="E254" s="6"/>
      <c r="F254" s="6"/>
      <c r="G254" s="0" t="s">
        <v>12</v>
      </c>
    </row>
    <row r="255" customFormat="false" ht="12.8" hidden="false" customHeight="false" outlineLevel="0" collapsed="false">
      <c r="A255" s="0" t="s">
        <v>333</v>
      </c>
      <c r="B255" s="0" t="s">
        <v>378</v>
      </c>
      <c r="C255" s="6"/>
      <c r="D255" s="6"/>
      <c r="E255" s="6"/>
      <c r="F255" s="6"/>
      <c r="G255" s="0" t="s">
        <v>326</v>
      </c>
    </row>
    <row r="256" customFormat="false" ht="12.8" hidden="false" customHeight="false" outlineLevel="0" collapsed="false">
      <c r="A256" s="0" t="s">
        <v>335</v>
      </c>
      <c r="B256" s="0" t="s">
        <v>379</v>
      </c>
      <c r="C256" s="6"/>
      <c r="D256" s="6"/>
      <c r="E256" s="6"/>
      <c r="F256" s="6"/>
      <c r="G256" s="0" t="s">
        <v>12</v>
      </c>
    </row>
    <row r="257" customFormat="false" ht="12.8" hidden="false" customHeight="false" outlineLevel="0" collapsed="false">
      <c r="A257" s="0" t="s">
        <v>337</v>
      </c>
      <c r="B257" s="0" t="s">
        <v>380</v>
      </c>
      <c r="C257" s="6"/>
      <c r="D257" s="6"/>
      <c r="E257" s="6"/>
      <c r="F257" s="6"/>
      <c r="G257" s="0" t="s">
        <v>326</v>
      </c>
    </row>
    <row r="258" customFormat="false" ht="12.8" hidden="false" customHeight="false" outlineLevel="0" collapsed="false">
      <c r="A258" s="0" t="s">
        <v>339</v>
      </c>
      <c r="B258" s="0" t="s">
        <v>381</v>
      </c>
      <c r="C258" s="6"/>
      <c r="D258" s="6"/>
      <c r="E258" s="6"/>
      <c r="F258" s="6"/>
      <c r="G258" s="0" t="s">
        <v>12</v>
      </c>
    </row>
    <row r="259" customFormat="false" ht="12.8" hidden="false" customHeight="false" outlineLevel="0" collapsed="false">
      <c r="A259" s="0" t="s">
        <v>341</v>
      </c>
      <c r="B259" s="0" t="s">
        <v>382</v>
      </c>
      <c r="C259" s="6"/>
      <c r="D259" s="6"/>
      <c r="E259" s="6"/>
      <c r="F259" s="6"/>
      <c r="G259" s="0" t="s">
        <v>326</v>
      </c>
    </row>
    <row r="260" customFormat="false" ht="12.8" hidden="false" customHeight="false" outlineLevel="0" collapsed="false">
      <c r="A260" s="0" t="s">
        <v>343</v>
      </c>
      <c r="B260" s="0" t="s">
        <v>383</v>
      </c>
      <c r="C260" s="6"/>
      <c r="D260" s="6"/>
      <c r="E260" s="6"/>
      <c r="F260" s="6"/>
      <c r="G260" s="0" t="s">
        <v>12</v>
      </c>
    </row>
    <row r="261" customFormat="false" ht="12.8" hidden="false" customHeight="false" outlineLevel="0" collapsed="false">
      <c r="A261" s="0" t="s">
        <v>345</v>
      </c>
      <c r="B261" s="0" t="s">
        <v>384</v>
      </c>
      <c r="C261" s="6"/>
      <c r="D261" s="6"/>
      <c r="E261" s="6"/>
      <c r="F261" s="6"/>
      <c r="G261" s="0" t="s">
        <v>326</v>
      </c>
    </row>
    <row r="262" customFormat="false" ht="12.8" hidden="false" customHeight="false" outlineLevel="0" collapsed="false">
      <c r="A262" s="0" t="s">
        <v>347</v>
      </c>
      <c r="B262" s="0" t="s">
        <v>385</v>
      </c>
      <c r="C262" s="6"/>
      <c r="D262" s="6"/>
      <c r="E262" s="6"/>
      <c r="F262" s="6"/>
      <c r="G262" s="0" t="s">
        <v>12</v>
      </c>
    </row>
    <row r="263" customFormat="false" ht="12.8" hidden="false" customHeight="false" outlineLevel="0" collapsed="false">
      <c r="A263" s="0" t="s">
        <v>355</v>
      </c>
      <c r="B263" s="0" t="s">
        <v>386</v>
      </c>
      <c r="C263" s="6"/>
      <c r="D263" s="6"/>
      <c r="E263" s="6"/>
      <c r="F263" s="6"/>
      <c r="G263" s="0" t="s">
        <v>326</v>
      </c>
    </row>
    <row r="264" customFormat="false" ht="12.8" hidden="false" customHeight="false" outlineLevel="0" collapsed="false">
      <c r="A264" s="0" t="s">
        <v>357</v>
      </c>
      <c r="B264" s="0" t="s">
        <v>387</v>
      </c>
      <c r="C264" s="6"/>
      <c r="D264" s="6"/>
      <c r="E264" s="6"/>
      <c r="F264" s="6"/>
      <c r="G264" s="0" t="s">
        <v>12</v>
      </c>
    </row>
    <row r="265" customFormat="false" ht="12.8" hidden="false" customHeight="false" outlineLevel="0" collapsed="false">
      <c r="A265" s="0" t="s">
        <v>359</v>
      </c>
      <c r="B265" s="0" t="s">
        <v>388</v>
      </c>
      <c r="C265" s="6"/>
      <c r="D265" s="6"/>
      <c r="E265" s="6"/>
      <c r="F265" s="6"/>
      <c r="G265" s="0" t="s">
        <v>326</v>
      </c>
    </row>
    <row r="266" customFormat="false" ht="12.8" hidden="false" customHeight="false" outlineLevel="0" collapsed="false">
      <c r="A266" s="0" t="s">
        <v>361</v>
      </c>
      <c r="B266" s="0" t="s">
        <v>389</v>
      </c>
      <c r="C266" s="6"/>
      <c r="D266" s="6"/>
      <c r="E266" s="6"/>
      <c r="F266" s="6"/>
      <c r="G266" s="0" t="s">
        <v>12</v>
      </c>
    </row>
    <row r="267" customFormat="false" ht="12.8" hidden="false" customHeight="false" outlineLevel="0" collapsed="false">
      <c r="A267" s="0" t="s">
        <v>363</v>
      </c>
      <c r="B267" s="0" t="s">
        <v>390</v>
      </c>
      <c r="C267" s="6"/>
      <c r="D267" s="6"/>
      <c r="E267" s="6"/>
      <c r="F267" s="6"/>
      <c r="G267" s="0" t="s">
        <v>326</v>
      </c>
    </row>
    <row r="268" customFormat="false" ht="12.8" hidden="false" customHeight="false" outlineLevel="0" collapsed="false">
      <c r="A268" s="0" t="s">
        <v>365</v>
      </c>
      <c r="B268" s="0" t="s">
        <v>391</v>
      </c>
      <c r="C268" s="6"/>
      <c r="D268" s="6"/>
      <c r="E268" s="6"/>
      <c r="F268" s="6"/>
      <c r="G268" s="0" t="s">
        <v>12</v>
      </c>
    </row>
    <row r="269" customFormat="false" ht="12.8" hidden="false" customHeight="false" outlineLevel="0" collapsed="false">
      <c r="A269" s="0" t="s">
        <v>367</v>
      </c>
      <c r="B269" s="0" t="s">
        <v>392</v>
      </c>
      <c r="C269" s="6"/>
      <c r="D269" s="6"/>
      <c r="E269" s="6"/>
      <c r="F269" s="6"/>
      <c r="G269" s="0" t="s">
        <v>326</v>
      </c>
    </row>
    <row r="270" customFormat="false" ht="12.8" hidden="false" customHeight="false" outlineLevel="0" collapsed="false">
      <c r="A270" s="0" t="s">
        <v>369</v>
      </c>
      <c r="B270" s="0" t="s">
        <v>393</v>
      </c>
      <c r="C270" s="6"/>
      <c r="D270" s="6"/>
      <c r="E270" s="6"/>
      <c r="F270" s="6"/>
      <c r="G270" s="0" t="s">
        <v>12</v>
      </c>
    </row>
    <row r="271" customFormat="false" ht="12.8" hidden="false" customHeight="false" outlineLevel="0" collapsed="false">
      <c r="A271" s="0" t="s">
        <v>394</v>
      </c>
      <c r="B271" s="0" t="s">
        <v>395</v>
      </c>
      <c r="C271" s="6"/>
      <c r="D271" s="6"/>
      <c r="E271" s="6"/>
      <c r="F271" s="6"/>
      <c r="G271" s="0" t="s">
        <v>396</v>
      </c>
    </row>
    <row r="272" customFormat="false" ht="12.8" hidden="false" customHeight="false" outlineLevel="0" collapsed="false">
      <c r="A272" s="0" t="s">
        <v>371</v>
      </c>
      <c r="B272" s="0" t="s">
        <v>397</v>
      </c>
      <c r="C272" s="6"/>
      <c r="D272" s="6"/>
      <c r="E272" s="6"/>
      <c r="F272" s="6"/>
      <c r="G272" s="0" t="s">
        <v>373</v>
      </c>
    </row>
    <row r="273" customFormat="false" ht="12.8" hidden="false" customHeight="false" outlineLevel="0" collapsed="false">
      <c r="A273" s="0" t="s">
        <v>398</v>
      </c>
      <c r="B273" s="0" t="s">
        <v>399</v>
      </c>
      <c r="C273" s="6" t="n">
        <v>708490.71</v>
      </c>
      <c r="D273" s="6" t="n">
        <v>342722.19</v>
      </c>
      <c r="E273" s="6" t="n">
        <v>470514.37</v>
      </c>
      <c r="F273" s="6" t="n">
        <v>342722.19</v>
      </c>
      <c r="G273" s="0" t="s">
        <v>400</v>
      </c>
    </row>
    <row r="274" customFormat="false" ht="12.8" hidden="false" customHeight="false" outlineLevel="0" collapsed="false">
      <c r="A274" s="0" t="s">
        <v>401</v>
      </c>
      <c r="B274" s="0" t="s">
        <v>402</v>
      </c>
      <c r="C274" s="6"/>
      <c r="D274" s="6"/>
      <c r="E274" s="6"/>
      <c r="F274" s="6"/>
      <c r="G274" s="0" t="s">
        <v>400</v>
      </c>
    </row>
    <row r="275" customFormat="false" ht="12.8" hidden="false" customHeight="false" outlineLevel="0" collapsed="false">
      <c r="A275" s="0" t="s">
        <v>403</v>
      </c>
      <c r="B275" s="0" t="s">
        <v>404</v>
      </c>
      <c r="C275" s="6"/>
      <c r="D275" s="6"/>
      <c r="E275" s="6" t="n">
        <v>16880.98</v>
      </c>
      <c r="F275" s="6"/>
      <c r="G275" s="0" t="s">
        <v>400</v>
      </c>
    </row>
    <row r="276" customFormat="false" ht="12.8" hidden="false" customHeight="false" outlineLevel="0" collapsed="false">
      <c r="A276" s="0" t="s">
        <v>405</v>
      </c>
      <c r="B276" s="0" t="s">
        <v>406</v>
      </c>
      <c r="C276" s="6"/>
      <c r="D276" s="6"/>
      <c r="E276" s="6"/>
      <c r="F276" s="6"/>
      <c r="G276" s="0" t="s">
        <v>400</v>
      </c>
    </row>
    <row r="277" customFormat="false" ht="12.8" hidden="false" customHeight="false" outlineLevel="0" collapsed="false">
      <c r="A277" s="0" t="s">
        <v>407</v>
      </c>
      <c r="C277" s="7" t="n">
        <f aca="false">IF(C170&lt;C177,C177-C170,0)</f>
        <v>0</v>
      </c>
      <c r="D277" s="7" t="n">
        <f aca="false">IF(D170&lt;D177,D177-D170,0)</f>
        <v>0</v>
      </c>
      <c r="E277" s="7" t="n">
        <f aca="false">IF(E170&lt;E177,E177-E170,0)</f>
        <v>0</v>
      </c>
      <c r="F277" s="7" t="n">
        <f aca="false">IF(F170&lt;F177,F177-F170,0)</f>
        <v>0</v>
      </c>
      <c r="G277" s="0" t="s">
        <v>408</v>
      </c>
    </row>
  </sheetData>
  <sheetProtection sheet="true" objects="true" scenarios="true"/>
  <printOptions headings="false" gridLines="false" gridLinesSet="true" horizontalCentered="true" verticalCentered="false"/>
  <pageMargins left="0.7875" right="0.7875" top="1.58055555555556" bottom="1.025" header="0.7875" footer="0.7875"/>
  <pageSetup paperSize="9" scale="100" firstPageNumber="1" fitToWidth="1" fitToHeight="100" pageOrder="downThenOver" orientation="portrait" blackAndWhite="false" draft="false" cellComments="none" useFirstPageNumber="true" horizontalDpi="300" verticalDpi="300" copies="1"/>
  <headerFooter differentFirst="false" differentOddEven="false">
    <oddHeader>&amp;C&amp;"Arial,Negrito"DEMONSTRATIVO DA DÍVIDA CONSOLIDADA LÍQUIDA – DCL
Modelo 4 do SIAPC/PAD
Lei Complementar n] 101/2000, art. 54 e alínea “b” do inciso I do art. 55
Resolução nº 40/2001, do Senado Federal, art. 1º, § 1º, inciso V
Instrução Normativa TCE/RS nº 6/2017</oddHeader>
    <oddFooter>&amp;CPágina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8" activeCellId="0" sqref="B18"/>
    </sheetView>
  </sheetViews>
  <sheetFormatPr defaultRowHeight="11.25" zeroHeight="false" outlineLevelRow="0" outlineLevelCol="0"/>
  <cols>
    <col collapsed="false" customWidth="true" hidden="false" outlineLevel="0" max="1" min="1" style="8" width="58.14"/>
    <col collapsed="false" customWidth="true" hidden="false" outlineLevel="0" max="2" min="2" style="8" width="16.06"/>
    <col collapsed="false" customWidth="true" hidden="false" outlineLevel="0" max="3" min="3" style="8" width="13.36"/>
    <col collapsed="false" customWidth="true" hidden="false" outlineLevel="0" max="4" min="4" style="8" width="16.67"/>
    <col collapsed="false" customWidth="false" hidden="false" outlineLevel="0" max="5" min="5" style="8" width="11.52"/>
    <col collapsed="false" customWidth="true" hidden="false" outlineLevel="0" max="6" min="6" style="8" width="15.68"/>
    <col collapsed="false" customWidth="true" hidden="false" outlineLevel="0" max="7" min="7" style="8" width="10.58"/>
    <col collapsed="false" customWidth="false" hidden="false" outlineLevel="0" max="257" min="8" style="8" width="11.52"/>
    <col collapsed="false" customWidth="false" hidden="false" outlineLevel="0" max="1025" min="258" style="0" width="11.52"/>
  </cols>
  <sheetData>
    <row r="1" customFormat="false" ht="12.75" hidden="false" customHeight="true" outlineLevel="0" collapsed="false">
      <c r="A1" s="9" t="s">
        <v>409</v>
      </c>
      <c r="B1" s="9"/>
      <c r="C1" s="9"/>
      <c r="D1" s="9"/>
      <c r="E1" s="9"/>
      <c r="F1" s="9"/>
      <c r="G1" s="9"/>
    </row>
    <row r="2" customFormat="false" ht="12.75" hidden="false" customHeight="true" outlineLevel="0" collapsed="false">
      <c r="A2" s="10" t="s">
        <v>410</v>
      </c>
      <c r="B2" s="10"/>
      <c r="C2" s="10"/>
      <c r="D2" s="10"/>
      <c r="E2" s="10"/>
      <c r="F2" s="10"/>
      <c r="G2" s="10"/>
    </row>
    <row r="3" customFormat="false" ht="12.75" hidden="false" customHeight="true" outlineLevel="0" collapsed="false">
      <c r="A3" s="11" t="s">
        <v>411</v>
      </c>
      <c r="B3" s="11"/>
      <c r="C3" s="11"/>
      <c r="D3" s="11"/>
      <c r="E3" s="11"/>
      <c r="F3" s="11"/>
      <c r="G3" s="11"/>
    </row>
    <row r="4" customFormat="false" ht="12.75" hidden="false" customHeight="true" outlineLevel="0" collapsed="false">
      <c r="A4" s="10" t="s">
        <v>412</v>
      </c>
      <c r="B4" s="10"/>
      <c r="C4" s="10"/>
      <c r="D4" s="10"/>
      <c r="E4" s="10"/>
      <c r="F4" s="10"/>
      <c r="G4" s="10"/>
    </row>
    <row r="5" customFormat="false" ht="12.75" hidden="false" customHeight="true" outlineLevel="0" collapsed="false">
      <c r="A5" s="12" t="str">
        <f aca="false">CONCATENATE(MONTH('DCL TCERS'!F2)/2,"º Bimestre de ",YEAR('DCL TCERS'!F2))</f>
        <v>3º Bimestre de 2017</v>
      </c>
      <c r="B5" s="12"/>
      <c r="C5" s="12"/>
      <c r="D5" s="12"/>
      <c r="E5" s="12"/>
      <c r="F5" s="12"/>
      <c r="G5" s="12"/>
    </row>
    <row r="6" customFormat="false" ht="12.75" hidden="false" customHeight="true" outlineLevel="0" collapsed="false">
      <c r="A6" s="13"/>
      <c r="B6" s="13"/>
      <c r="C6" s="13"/>
      <c r="D6" s="13"/>
      <c r="E6" s="13"/>
      <c r="F6" s="13"/>
      <c r="G6" s="13"/>
    </row>
    <row r="7" customFormat="false" ht="12.75" hidden="false" customHeight="true" outlineLevel="0" collapsed="false">
      <c r="A7" s="8" t="s">
        <v>413</v>
      </c>
      <c r="D7" s="14"/>
      <c r="E7" s="15"/>
      <c r="G7" s="16" t="s">
        <v>414</v>
      </c>
    </row>
    <row r="8" customFormat="false" ht="12.75" hidden="false" customHeight="true" outlineLevel="0" collapsed="false">
      <c r="A8" s="17"/>
      <c r="B8" s="18"/>
      <c r="C8" s="19"/>
      <c r="D8" s="19" t="s">
        <v>415</v>
      </c>
      <c r="E8" s="19"/>
      <c r="F8" s="20"/>
      <c r="G8" s="19"/>
    </row>
    <row r="9" customFormat="false" ht="12.75" hidden="false" customHeight="true" outlineLevel="0" collapsed="false">
      <c r="A9" s="21" t="s">
        <v>416</v>
      </c>
      <c r="B9" s="22" t="str">
        <f aca="false">CONCATENATE("Em ",DAY('DCL TCERS'!C2),"/",MONTH('DCL TCERS'!C2),"/",YEAR('DCL TCERS'!C2))</f>
        <v>Em 31/12/2016</v>
      </c>
      <c r="C9" s="22"/>
      <c r="D9" s="23" t="str">
        <f aca="false">CONCATENATE("Em ",DAY('DCL TCERS'!E2),"/",MONTH('DCL TCERS'!E2),"/",YEAR('DCL TCERS'!E2))</f>
        <v>Em 30/4/2017</v>
      </c>
      <c r="E9" s="23"/>
      <c r="F9" s="23" t="str">
        <f aca="false">CONCATENATE("Em ",DAY('DCL TCERS'!F2),"/",MONTH('DCL TCERS'!F2),"/",YEAR('DCL TCERS'!F2))</f>
        <v>Em 30/6/2017</v>
      </c>
      <c r="G9" s="23"/>
    </row>
    <row r="10" customFormat="false" ht="12.75" hidden="false" customHeight="true" outlineLevel="0" collapsed="false">
      <c r="A10" s="24"/>
      <c r="B10" s="25" t="s">
        <v>417</v>
      </c>
      <c r="C10" s="25"/>
      <c r="D10" s="26" t="s">
        <v>418</v>
      </c>
      <c r="E10" s="26"/>
      <c r="F10" s="26" t="s">
        <v>419</v>
      </c>
      <c r="G10" s="26"/>
    </row>
    <row r="11" customFormat="false" ht="12.75" hidden="false" customHeight="true" outlineLevel="0" collapsed="false">
      <c r="A11" s="27" t="s">
        <v>420</v>
      </c>
      <c r="B11" s="28" t="n">
        <f aca="false">'DCL TCERS'!C3</f>
        <v>0</v>
      </c>
      <c r="C11" s="28"/>
      <c r="D11" s="28" t="n">
        <f aca="false">'DCL TCERS'!E3</f>
        <v>0</v>
      </c>
      <c r="E11" s="28"/>
      <c r="F11" s="28" t="n">
        <f aca="false">'DCL TCERS'!F3</f>
        <v>0</v>
      </c>
      <c r="G11" s="28"/>
    </row>
    <row r="12" customFormat="false" ht="12.75" hidden="false" customHeight="true" outlineLevel="0" collapsed="false">
      <c r="A12" s="27" t="s">
        <v>421</v>
      </c>
      <c r="B12" s="28" t="n">
        <f aca="false">'DCL TCERS'!C168</f>
        <v>2834903.8</v>
      </c>
      <c r="C12" s="28"/>
      <c r="D12" s="28" t="n">
        <f aca="false">'DCL TCERS'!E168</f>
        <v>3824678.07</v>
      </c>
      <c r="E12" s="28"/>
      <c r="F12" s="28" t="n">
        <f aca="false">'DCL TCERS'!F168</f>
        <v>3799039.88</v>
      </c>
      <c r="G12" s="28"/>
    </row>
    <row r="13" customFormat="false" ht="12.75" hidden="false" customHeight="true" outlineLevel="0" collapsed="false">
      <c r="A13" s="29" t="s">
        <v>422</v>
      </c>
      <c r="B13" s="28" t="n">
        <f aca="false">IF(B14&lt;B15,0,B14-B15)</f>
        <v>2834903.8</v>
      </c>
      <c r="C13" s="28"/>
      <c r="D13" s="28" t="n">
        <f aca="false">IF(E14&lt;E15,0,E14-E15)</f>
        <v>0</v>
      </c>
      <c r="E13" s="28"/>
      <c r="F13" s="28" t="n">
        <f aca="false">IF(F14&lt;F15,0,F14-F15)</f>
        <v>3799039.88</v>
      </c>
      <c r="G13" s="28"/>
    </row>
    <row r="14" customFormat="false" ht="12.75" hidden="false" customHeight="true" outlineLevel="0" collapsed="false">
      <c r="A14" s="29" t="s">
        <v>423</v>
      </c>
      <c r="B14" s="28" t="n">
        <f aca="false">'DCL TCERS'!C170</f>
        <v>2861963.89</v>
      </c>
      <c r="C14" s="28"/>
      <c r="D14" s="28" t="n">
        <f aca="false">'DCL TCERS'!E170</f>
        <v>3840198.11</v>
      </c>
      <c r="E14" s="28"/>
      <c r="F14" s="28" t="n">
        <f aca="false">'DCL TCERS'!F170</f>
        <v>3814559.92</v>
      </c>
      <c r="G14" s="28"/>
    </row>
    <row r="15" customFormat="false" ht="12.75" hidden="false" customHeight="true" outlineLevel="0" collapsed="false">
      <c r="A15" s="29" t="s">
        <v>424</v>
      </c>
      <c r="B15" s="28" t="n">
        <f aca="false">'DCL TCERS'!C177</f>
        <v>27060.09</v>
      </c>
      <c r="C15" s="28"/>
      <c r="D15" s="28" t="n">
        <f aca="false">'DCL TCERS'!E177</f>
        <v>15520.04</v>
      </c>
      <c r="E15" s="28"/>
      <c r="F15" s="28" t="n">
        <f aca="false">'DCL TCERS'!F177</f>
        <v>15520.04</v>
      </c>
      <c r="G15" s="28"/>
    </row>
    <row r="16" customFormat="false" ht="12.75" hidden="false" customHeight="true" outlineLevel="0" collapsed="false">
      <c r="A16" s="29" t="s">
        <v>425</v>
      </c>
      <c r="B16" s="28" t="n">
        <f aca="false">'DCL TCERS'!C180</f>
        <v>0</v>
      </c>
      <c r="C16" s="28"/>
      <c r="D16" s="28" t="n">
        <f aca="false">'DCL TCERS'!E180</f>
        <v>0</v>
      </c>
      <c r="E16" s="28"/>
      <c r="F16" s="28" t="n">
        <f aca="false">'DCL TCERS'!F180</f>
        <v>0</v>
      </c>
      <c r="G16" s="28"/>
    </row>
    <row r="17" customFormat="false" ht="12.75" hidden="false" customHeight="true" outlineLevel="0" collapsed="false">
      <c r="A17" s="27" t="s">
        <v>426</v>
      </c>
      <c r="B17" s="28" t="n">
        <f aca="false">B11-B12</f>
        <v>-2834903.8</v>
      </c>
      <c r="C17" s="28"/>
      <c r="D17" s="28" t="n">
        <f aca="false">D11-D12</f>
        <v>-3824678.07</v>
      </c>
      <c r="E17" s="28"/>
      <c r="F17" s="28" t="n">
        <f aca="false">F11-F12</f>
        <v>-3799039.88</v>
      </c>
      <c r="G17" s="28"/>
    </row>
    <row r="18" customFormat="false" ht="12.75" hidden="false" customHeight="true" outlineLevel="0" collapsed="false">
      <c r="A18" s="27" t="s">
        <v>427</v>
      </c>
      <c r="B18" s="30"/>
      <c r="C18" s="30"/>
      <c r="D18" s="30"/>
      <c r="E18" s="30"/>
      <c r="F18" s="30"/>
      <c r="G18" s="30"/>
    </row>
    <row r="19" customFormat="false" ht="12.75" hidden="false" customHeight="true" outlineLevel="0" collapsed="false">
      <c r="A19" s="27" t="s">
        <v>428</v>
      </c>
      <c r="B19" s="30"/>
      <c r="C19" s="30"/>
      <c r="D19" s="30"/>
      <c r="E19" s="30"/>
      <c r="F19" s="30"/>
      <c r="G19" s="30"/>
    </row>
    <row r="20" customFormat="false" ht="12.75" hidden="false" customHeight="true" outlineLevel="0" collapsed="false">
      <c r="A20" s="27" t="s">
        <v>429</v>
      </c>
      <c r="B20" s="28" t="n">
        <f aca="false">B17+B18-B19</f>
        <v>-2834903.8</v>
      </c>
      <c r="C20" s="28"/>
      <c r="D20" s="28" t="n">
        <f aca="false">D17+D18-D19</f>
        <v>-3824678.07</v>
      </c>
      <c r="E20" s="28"/>
      <c r="F20" s="28" t="n">
        <f aca="false">F17+F18-F19</f>
        <v>-3799039.88</v>
      </c>
      <c r="G20" s="28"/>
    </row>
    <row r="21" customFormat="false" ht="12.75" hidden="false" customHeight="true" outlineLevel="0" collapsed="false">
      <c r="A21" s="31"/>
      <c r="B21" s="32"/>
      <c r="C21" s="32"/>
      <c r="D21" s="32"/>
      <c r="E21" s="32"/>
      <c r="F21" s="32"/>
      <c r="G21" s="32"/>
    </row>
    <row r="22" customFormat="false" ht="12.75" hidden="false" customHeight="true" outlineLevel="0" collapsed="false">
      <c r="A22" s="33"/>
      <c r="B22" s="34" t="s">
        <v>430</v>
      </c>
      <c r="C22" s="34"/>
      <c r="D22" s="34"/>
      <c r="E22" s="34"/>
      <c r="F22" s="34"/>
      <c r="G22" s="34"/>
    </row>
    <row r="23" customFormat="false" ht="12.75" hidden="false" customHeight="true" outlineLevel="0" collapsed="false">
      <c r="A23" s="35" t="s">
        <v>431</v>
      </c>
      <c r="B23" s="34" t="s">
        <v>432</v>
      </c>
      <c r="C23" s="34"/>
      <c r="D23" s="34"/>
      <c r="E23" s="34" t="s">
        <v>433</v>
      </c>
      <c r="F23" s="34"/>
      <c r="G23" s="34"/>
    </row>
    <row r="24" customFormat="false" ht="12.75" hidden="false" customHeight="true" outlineLevel="0" collapsed="false">
      <c r="A24" s="33"/>
      <c r="B24" s="36" t="s">
        <v>434</v>
      </c>
      <c r="C24" s="36"/>
      <c r="D24" s="36"/>
      <c r="E24" s="36" t="s">
        <v>435</v>
      </c>
      <c r="F24" s="36"/>
      <c r="G24" s="36"/>
    </row>
    <row r="25" customFormat="false" ht="12.75" hidden="false" customHeight="true" outlineLevel="0" collapsed="false">
      <c r="A25" s="29" t="s">
        <v>436</v>
      </c>
      <c r="B25" s="28" t="n">
        <f aca="false">F20-D20</f>
        <v>25638.1899999999</v>
      </c>
      <c r="C25" s="28"/>
      <c r="D25" s="28"/>
      <c r="E25" s="28" t="n">
        <f aca="false">F20-B20</f>
        <v>-964136.08</v>
      </c>
      <c r="F25" s="28"/>
      <c r="G25" s="28"/>
    </row>
    <row r="26" customFormat="false" ht="12.75" hidden="false" customHeight="true" outlineLevel="0" collapsed="false">
      <c r="A26" s="31"/>
      <c r="B26" s="37"/>
      <c r="C26" s="37"/>
      <c r="D26" s="37"/>
      <c r="E26" s="37"/>
      <c r="F26" s="37"/>
      <c r="G26" s="37"/>
    </row>
    <row r="27" customFormat="false" ht="12.75" hidden="false" customHeight="true" outlineLevel="0" collapsed="false">
      <c r="A27" s="35" t="s">
        <v>437</v>
      </c>
      <c r="B27" s="35"/>
      <c r="C27" s="35"/>
      <c r="D27" s="35"/>
      <c r="E27" s="38" t="s">
        <v>438</v>
      </c>
      <c r="F27" s="38"/>
      <c r="G27" s="38"/>
    </row>
    <row r="28" customFormat="false" ht="12.75" hidden="false" customHeight="true" outlineLevel="0" collapsed="false">
      <c r="A28" s="35"/>
      <c r="B28" s="35"/>
      <c r="C28" s="35"/>
      <c r="D28" s="35"/>
      <c r="E28" s="38"/>
      <c r="F28" s="38"/>
      <c r="G28" s="38"/>
    </row>
    <row r="29" customFormat="false" ht="14.65" hidden="false" customHeight="false" outlineLevel="0" collapsed="false">
      <c r="A29" s="39" t="s">
        <v>439</v>
      </c>
      <c r="B29" s="39"/>
      <c r="C29" s="39"/>
      <c r="D29" s="39"/>
      <c r="E29" s="30" t="n">
        <v>0</v>
      </c>
      <c r="F29" s="30"/>
      <c r="G29" s="30"/>
    </row>
    <row r="30" customFormat="false" ht="12.7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sheetProtection sheet="true" objects="true" scenarios="true"/>
  <mergeCells count="53">
    <mergeCell ref="A1:G1"/>
    <mergeCell ref="A2:G2"/>
    <mergeCell ref="A3:G3"/>
    <mergeCell ref="A4:G4"/>
    <mergeCell ref="A5:G5"/>
    <mergeCell ref="D8:E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2:G22"/>
    <mergeCell ref="B23:D23"/>
    <mergeCell ref="E23:G23"/>
    <mergeCell ref="B24:D24"/>
    <mergeCell ref="E24:G24"/>
    <mergeCell ref="B25:D25"/>
    <mergeCell ref="E25:G25"/>
    <mergeCell ref="A27:D28"/>
    <mergeCell ref="E27:G28"/>
    <mergeCell ref="A29:D29"/>
    <mergeCell ref="E29:G29"/>
  </mergeCells>
  <printOptions headings="false" gridLines="false" gridLinesSet="true" horizontalCentered="true" verticalCentered="false"/>
  <pageMargins left="0.7875" right="0.7875" top="1.58055555555556" bottom="1.025" header="0.7875" footer="0.7875"/>
  <pageSetup paperSize="9" scale="100" firstPageNumber="1" fitToWidth="1" fitToHeight="100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&amp;C&amp;"Arial,Negrito"DEMONSTRATIVO DA DÍVIDA CONSOLIDADA LÍQUIDA – DCL
Modelo 4 do SIAPC/PAD
Lei Complementar n] 101/2000, art. 54 e alínea “b” do inciso I do art. 55
Resolução nº 40/2001, do Senado Federal, art. 1º, § 1º, inciso V
Instrução Normativa TCE/RS nº 6/2017</oddHeader>
    <oddFooter>&amp;CPágina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MJ52"/>
  <sheetViews>
    <sheetView showFormulas="false" showGridLines="true" showRowColHeaders="true" showZeros="true" rightToLeft="false" tabSelected="false" showOutlineSymbols="true" defaultGridColor="true" view="normal" topLeftCell="A28" colorId="64" zoomScale="90" zoomScaleNormal="90" zoomScalePageLayoutView="100" workbookViewId="0">
      <selection pane="topLeft" activeCell="A52" activeCellId="0" sqref="A52"/>
    </sheetView>
  </sheetViews>
  <sheetFormatPr defaultRowHeight="12.8" zeroHeight="false" outlineLevelRow="0" outlineLevelCol="0"/>
  <cols>
    <col collapsed="false" customWidth="true" hidden="false" outlineLevel="0" max="1" min="1" style="40" width="95.81"/>
    <col collapsed="false" customWidth="true" hidden="false" outlineLevel="0" max="2" min="2" style="40" width="23.4"/>
    <col collapsed="false" customWidth="true" hidden="false" outlineLevel="0" max="4" min="3" style="40" width="15.68"/>
    <col collapsed="false" customWidth="false" hidden="false" outlineLevel="0" max="256" min="5" style="40" width="11.52"/>
    <col collapsed="false" customWidth="false" hidden="false" outlineLevel="0" max="1025" min="257" style="0" width="11.52"/>
  </cols>
  <sheetData>
    <row r="1" customFormat="false" ht="12.8" hidden="false" customHeight="false" outlineLevel="0" collapsed="false">
      <c r="A1" s="41" t="str">
        <f aca="false">'RREO Anexo 5 - Resultado Nominal'!A1</f>
        <v>MUNICÍPIO DE INDEPENDÊNCIA – RS</v>
      </c>
      <c r="B1" s="41"/>
      <c r="C1" s="41"/>
      <c r="D1" s="41"/>
    </row>
    <row r="2" customFormat="false" ht="14.65" hidden="false" customHeight="false" outlineLevel="0" collapsed="false">
      <c r="A2" s="12" t="s">
        <v>440</v>
      </c>
      <c r="B2" s="12"/>
      <c r="C2" s="12"/>
      <c r="D2" s="12"/>
    </row>
    <row r="3" customFormat="false" ht="14.65" hidden="false" customHeight="false" outlineLevel="0" collapsed="false">
      <c r="A3" s="42" t="s">
        <v>441</v>
      </c>
      <c r="B3" s="42"/>
      <c r="C3" s="42"/>
      <c r="D3" s="42"/>
    </row>
    <row r="4" customFormat="false" ht="14.65" hidden="false" customHeight="false" outlineLevel="0" collapsed="false">
      <c r="A4" s="12" t="s">
        <v>412</v>
      </c>
      <c r="B4" s="12"/>
      <c r="C4" s="12"/>
      <c r="D4" s="12"/>
    </row>
    <row r="5" customFormat="false" ht="12.8" hidden="false" customHeight="false" outlineLevel="0" collapsed="false">
      <c r="A5" s="41" t="str">
        <f aca="false">CONCATENATE(IF(MONTH('DCL TCERS'!F2)=4,"1º quadrimestre de ",IF(MONTH('DCL TCERS'!F2)=6,"1º semestre de ",IF(MONTH('DCL TCERS'!F2)=8,"2º quadrimestre de ","2º semestre/3º quadrimestre de "))),YEAR('DCL TCERS'!F2))</f>
        <v>1º semestre de 2017</v>
      </c>
      <c r="B5" s="41"/>
      <c r="C5" s="41"/>
      <c r="D5" s="41"/>
    </row>
    <row r="6" customFormat="false" ht="14.65" hidden="false" customHeight="false" outlineLevel="0" collapsed="false">
      <c r="A6" s="43"/>
      <c r="B6" s="43"/>
      <c r="C6" s="43"/>
      <c r="D6" s="43"/>
    </row>
    <row r="7" customFormat="false" ht="14.65" hidden="false" customHeight="false" outlineLevel="0" collapsed="false">
      <c r="A7" s="44" t="s">
        <v>442</v>
      </c>
      <c r="B7" s="44"/>
      <c r="C7" s="44"/>
      <c r="D7" s="16" t="n">
        <v>1</v>
      </c>
    </row>
    <row r="8" customFormat="false" ht="14.65" hidden="false" customHeight="false" outlineLevel="0" collapsed="false">
      <c r="A8" s="45" t="s">
        <v>443</v>
      </c>
      <c r="B8" s="46" t="s">
        <v>444</v>
      </c>
      <c r="C8" s="46" t="str">
        <f aca="false">CONCATENATE("SALDO DO EXERCÍCIO DE ",YEAR('DCL TCERS'!F2))</f>
        <v>SALDO DO EXERCÍCIO DE 2017</v>
      </c>
      <c r="D8" s="46"/>
    </row>
    <row r="9" customFormat="false" ht="14.65" hidden="false" customHeight="false" outlineLevel="0" collapsed="false">
      <c r="A9" s="45"/>
      <c r="B9" s="47" t="s">
        <v>445</v>
      </c>
      <c r="C9" s="48" t="s">
        <v>446</v>
      </c>
      <c r="D9" s="48" t="s">
        <v>447</v>
      </c>
    </row>
    <row r="10" s="50" customFormat="true" ht="14.65" hidden="false" customHeight="false" outlineLevel="0" collapsed="false">
      <c r="A10" s="27" t="s">
        <v>448</v>
      </c>
      <c r="B10" s="49" t="n">
        <f aca="false">B11+B12+B27+B28</f>
        <v>0</v>
      </c>
      <c r="C10" s="49" t="n">
        <f aca="false">C11+C12+C27+C28</f>
        <v>0</v>
      </c>
      <c r="D10" s="49" t="n">
        <f aca="false">D11+D12+D27+D28</f>
        <v>0</v>
      </c>
      <c r="AMJ10" s="0"/>
    </row>
    <row r="11" customFormat="false" ht="14.65" hidden="false" customHeight="false" outlineLevel="0" collapsed="false">
      <c r="A11" s="27" t="s">
        <v>449</v>
      </c>
      <c r="B11" s="49" t="n">
        <f aca="false">SUMIF('DCL TCERS'!$G$4:$G$166,"mobiliaria",'DCL TCERS'!H4:H166)</f>
        <v>0</v>
      </c>
      <c r="C11" s="49" t="n">
        <f aca="false">SUMIF('DCL TCERS'!$G$4:$G$166,"mobiliaria",'DCL TCERS'!I4:I166)</f>
        <v>0</v>
      </c>
      <c r="D11" s="49" t="n">
        <f aca="false">SUMIF('DCL TCERS'!$G$4:$G$166,"mobiliaria",'DCL TCERS'!J4:J166)</f>
        <v>0</v>
      </c>
    </row>
    <row r="12" customFormat="false" ht="14.65" hidden="false" customHeight="false" outlineLevel="0" collapsed="false">
      <c r="A12" s="27" t="s">
        <v>450</v>
      </c>
      <c r="B12" s="49" t="n">
        <f aca="false">B13+B16+B17+B20+B26</f>
        <v>0</v>
      </c>
      <c r="C12" s="49" t="n">
        <f aca="false">C13+C16+C17+C20+C26</f>
        <v>0</v>
      </c>
      <c r="D12" s="49" t="n">
        <f aca="false">D13+D16+D17+D20+D26</f>
        <v>0</v>
      </c>
    </row>
    <row r="13" customFormat="false" ht="14.65" hidden="false" customHeight="false" outlineLevel="0" collapsed="false">
      <c r="A13" s="51" t="s">
        <v>451</v>
      </c>
      <c r="B13" s="49" t="n">
        <f aca="false">SUM(B14:B15)</f>
        <v>0</v>
      </c>
      <c r="C13" s="49" t="n">
        <f aca="false">SUM(C14:C15)</f>
        <v>0</v>
      </c>
      <c r="D13" s="49" t="n">
        <f aca="false">SUM(D14:D15)</f>
        <v>0</v>
      </c>
    </row>
    <row r="14" customFormat="false" ht="14.65" hidden="false" customHeight="false" outlineLevel="0" collapsed="false">
      <c r="A14" s="51" t="s">
        <v>452</v>
      </c>
      <c r="B14" s="49" t="n">
        <f aca="false">SUMIF('DCL TCERS'!$G$4:$G$166,"contratual-emprestimo-interno",'DCL TCERS'!H4:H166)</f>
        <v>0</v>
      </c>
      <c r="C14" s="49" t="n">
        <f aca="false">SUMIF('DCL TCERS'!$G$4:$G$166,"contratual-emprestimo-interno",'DCL TCERS'!I4:I166)</f>
        <v>0</v>
      </c>
      <c r="D14" s="49" t="n">
        <f aca="false">SUMIF('DCL TCERS'!$G$4:$G$166,"contratual-emprestimo-interno",'DCL TCERS'!J4:J166)</f>
        <v>0</v>
      </c>
    </row>
    <row r="15" customFormat="false" ht="14.65" hidden="false" customHeight="false" outlineLevel="0" collapsed="false">
      <c r="A15" s="27" t="s">
        <v>453</v>
      </c>
      <c r="B15" s="49" t="n">
        <f aca="false">SUMIF('DCL TCERS'!$G$4:$G$166,"contratual-emprestimo-externo",'DCL TCERS'!H4:H166)</f>
        <v>0</v>
      </c>
      <c r="C15" s="49" t="n">
        <f aca="false">SUMIF('DCL TCERS'!$G$4:$G$166,"contratual-emprestimo-externo",'DCL TCERS'!I4:I166)</f>
        <v>0</v>
      </c>
      <c r="D15" s="49" t="n">
        <f aca="false">SUMIF('DCL TCERS'!$G$4:$G$166,"contratual-emprestimo-externo",'DCL TCERS'!J4:J166)</f>
        <v>0</v>
      </c>
    </row>
    <row r="16" customFormat="false" ht="14.65" hidden="false" customHeight="false" outlineLevel="0" collapsed="false">
      <c r="A16" s="27" t="s">
        <v>454</v>
      </c>
      <c r="B16" s="49" t="n">
        <f aca="false">SUMIF('DCL TCERS'!$G$4:$G$166,"reestruturacao",'DCL TCERS'!H4:H166)</f>
        <v>0</v>
      </c>
      <c r="C16" s="49" t="n">
        <f aca="false">SUMIF('DCL TCERS'!$G$4:$G$166,"reestruturacao",'DCL TCERS'!I4:I166)</f>
        <v>0</v>
      </c>
      <c r="D16" s="49" t="n">
        <f aca="false">SUMIF('DCL TCERS'!$G$4:$G$166,"reestruturacao",'DCL TCERS'!J4:J166)</f>
        <v>0</v>
      </c>
    </row>
    <row r="17" customFormat="false" ht="14.65" hidden="false" customHeight="false" outlineLevel="0" collapsed="false">
      <c r="A17" s="51" t="s">
        <v>455</v>
      </c>
      <c r="B17" s="49" t="n">
        <f aca="false">SUM(B18:B19)</f>
        <v>0</v>
      </c>
      <c r="C17" s="49" t="n">
        <f aca="false">SUM(C18:C19)</f>
        <v>0</v>
      </c>
      <c r="D17" s="49" t="n">
        <f aca="false">SUM(D18:D19)</f>
        <v>0</v>
      </c>
    </row>
    <row r="18" customFormat="false" ht="14.65" hidden="false" customHeight="false" outlineLevel="0" collapsed="false">
      <c r="A18" s="51" t="s">
        <v>452</v>
      </c>
      <c r="B18" s="49" t="n">
        <f aca="false">SUMIF('DCL TCERS'!$G$4:$G$166,"contratual-financiamento-interno",'DCL TCERS'!H4:H166)</f>
        <v>0</v>
      </c>
      <c r="C18" s="49" t="n">
        <f aca="false">SUMIF('DCL TCERS'!$G$4:$G$166,"contratual-financiamento-interno",'DCL TCERS'!I4:I166)</f>
        <v>0</v>
      </c>
      <c r="D18" s="49" t="n">
        <f aca="false">SUMIF('DCL TCERS'!$G$4:$G$166,"contratual-financiamento-interno",'DCL TCERS'!J4:J166)</f>
        <v>0</v>
      </c>
    </row>
    <row r="19" customFormat="false" ht="14.65" hidden="false" customHeight="false" outlineLevel="0" collapsed="false">
      <c r="A19" s="27" t="s">
        <v>453</v>
      </c>
      <c r="B19" s="49" t="n">
        <f aca="false">SUMIF('DCL TCERS'!$G$4:$G$166,"contratual-financiamento-externo",'DCL TCERS'!H4:H166)</f>
        <v>0</v>
      </c>
      <c r="C19" s="49" t="n">
        <f aca="false">SUMIF('DCL TCERS'!$G$4:$G$166,"contratual-financiamento-externo",'DCL TCERS'!I4:I166)</f>
        <v>0</v>
      </c>
      <c r="D19" s="49" t="n">
        <f aca="false">SUMIF('DCL TCERS'!$G$4:$G$166,"contratual-financiamento-externo",'DCL TCERS'!J4:J166)</f>
        <v>0</v>
      </c>
    </row>
    <row r="20" customFormat="false" ht="14.65" hidden="false" customHeight="false" outlineLevel="0" collapsed="false">
      <c r="A20" s="27" t="s">
        <v>456</v>
      </c>
      <c r="B20" s="49" t="n">
        <f aca="false">SUM(B21:B25)</f>
        <v>0</v>
      </c>
      <c r="C20" s="49" t="n">
        <f aca="false">SUM(C21:C25)</f>
        <v>0</v>
      </c>
      <c r="D20" s="49" t="n">
        <f aca="false">SUM(D21:D25)</f>
        <v>0</v>
      </c>
    </row>
    <row r="21" customFormat="false" ht="14.65" hidden="false" customHeight="false" outlineLevel="0" collapsed="false">
      <c r="A21" s="51" t="s">
        <v>457</v>
      </c>
      <c r="B21" s="49" t="n">
        <f aca="false">SUMIF('DCL TCERS'!$G$4:$G$166,"parcelamento-tributos",'DCL TCERS'!H4:H166)</f>
        <v>0</v>
      </c>
      <c r="C21" s="49" t="n">
        <f aca="false">SUMIF('DCL TCERS'!$G$4:$G$166,"parcelamento-tributos",'DCL TCERS'!I4:I166)</f>
        <v>0</v>
      </c>
      <c r="D21" s="49" t="n">
        <f aca="false">SUMIF('DCL TCERS'!$G$4:$G$166,"parcelamento-tributos",'DCL TCERS'!J4:J166)</f>
        <v>0</v>
      </c>
    </row>
    <row r="22" customFormat="false" ht="14.65" hidden="false" customHeight="false" outlineLevel="0" collapsed="false">
      <c r="A22" s="27" t="s">
        <v>458</v>
      </c>
      <c r="B22" s="49" t="n">
        <f aca="false">SUMIF('DCL TCERS'!$G$4:$G$166,"parcelamento-previdenciario",'DCL TCERS'!H4:H166)</f>
        <v>0</v>
      </c>
      <c r="C22" s="49" t="n">
        <f aca="false">SUMIF('DCL TCERS'!$G$4:$G$166,"parcelamento-previdenciario",'DCL TCERS'!I4:I166)</f>
        <v>0</v>
      </c>
      <c r="D22" s="49" t="n">
        <f aca="false">SUMIF('DCL TCERS'!$G$4:$G$166,"parcelamento-previdenciario",'DCL TCERS'!J4:J166)</f>
        <v>0</v>
      </c>
    </row>
    <row r="23" customFormat="false" ht="14.65" hidden="false" customHeight="false" outlineLevel="0" collapsed="false">
      <c r="A23" s="27" t="s">
        <v>459</v>
      </c>
      <c r="B23" s="49" t="n">
        <f aca="false">SUMIF('DCL TCERS'!$G$4:$G$166,"parcelamento-contribuicao-social",'DCL TCERS'!H4:H166)</f>
        <v>0</v>
      </c>
      <c r="C23" s="49" t="n">
        <f aca="false">SUMIF('DCL TCERS'!$G$4:$G$166,"parcelamento-contribuicao-social",'DCL TCERS'!I4:I166)</f>
        <v>0</v>
      </c>
      <c r="D23" s="49" t="n">
        <f aca="false">SUMIF('DCL TCERS'!$G$4:$G$166,"parcelamento-contribuicao-social",'DCL TCERS'!J4:J166)</f>
        <v>0</v>
      </c>
    </row>
    <row r="24" customFormat="false" ht="14.65" hidden="false" customHeight="false" outlineLevel="0" collapsed="false">
      <c r="A24" s="51" t="s">
        <v>460</v>
      </c>
      <c r="B24" s="49" t="n">
        <f aca="false">SUMIF('DCL TCERS'!$G$4:$G$166,"parcelamento-fgts",'DCL TCERS'!H4:H166)</f>
        <v>0</v>
      </c>
      <c r="C24" s="49" t="n">
        <f aca="false">SUMIF('DCL TCERS'!$G$4:$G$166,"parcelamento-fgts",'DCL TCERS'!I4:I166)</f>
        <v>0</v>
      </c>
      <c r="D24" s="49" t="n">
        <f aca="false">SUMIF('DCL TCERS'!$G$4:$G$166,"parcelamento-fgts",'DCL TCERS'!J4:J166)</f>
        <v>0</v>
      </c>
    </row>
    <row r="25" customFormat="false" ht="14.65" hidden="false" customHeight="false" outlineLevel="0" collapsed="false">
      <c r="A25" s="51" t="s">
        <v>461</v>
      </c>
      <c r="B25" s="52"/>
      <c r="C25" s="52"/>
      <c r="D25" s="52"/>
    </row>
    <row r="26" customFormat="false" ht="14.65" hidden="false" customHeight="false" outlineLevel="0" collapsed="false">
      <c r="A26" s="27" t="s">
        <v>462</v>
      </c>
      <c r="B26" s="49" t="n">
        <f aca="false">SUMIF('DCL TCERS'!$G$4:$G$166,"contratual-demais",'DCL TCERS'!H4:H166)</f>
        <v>0</v>
      </c>
      <c r="C26" s="49" t="n">
        <f aca="false">SUMIF('DCL TCERS'!$G$4:$G$166,"contratual-demais",'DCL TCERS'!I4:I166)</f>
        <v>0</v>
      </c>
      <c r="D26" s="49" t="n">
        <f aca="false">SUMIF('DCL TCERS'!$G$4:$G$166,"contratual-demais",'DCL TCERS'!J4:J166)</f>
        <v>0</v>
      </c>
    </row>
    <row r="27" s="53" customFormat="true" ht="14.65" hidden="false" customHeight="false" outlineLevel="0" collapsed="false">
      <c r="A27" s="27" t="s">
        <v>463</v>
      </c>
      <c r="B27" s="49" t="n">
        <f aca="false">SUMIF('DCL TCERS'!$G$4:$G$166,"precatorios",'DCL TCERS'!H4:H166)</f>
        <v>0</v>
      </c>
      <c r="C27" s="49" t="n">
        <f aca="false">SUMIF('DCL TCERS'!$G$4:$G$166,"precatorios",'DCL TCERS'!I4:I166)</f>
        <v>0</v>
      </c>
      <c r="D27" s="49" t="n">
        <f aca="false">SUMIF('DCL TCERS'!$G$4:$G$166,"precatorios",'DCL TCERS'!J4:J166)</f>
        <v>0</v>
      </c>
      <c r="AMJ27" s="0"/>
    </row>
    <row r="28" customFormat="false" ht="14.65" hidden="false" customHeight="false" outlineLevel="0" collapsed="false">
      <c r="A28" s="27" t="s">
        <v>464</v>
      </c>
      <c r="B28" s="49" t="n">
        <f aca="false">SUMIF('DCL TCERS'!$G$4:$G$166,"outras-dividas",'DCL TCERS'!H4:H166)</f>
        <v>0</v>
      </c>
      <c r="C28" s="49" t="n">
        <f aca="false">SUMIF('DCL TCERS'!$G$4:$G$166,"outras-dividas",'DCL TCERS'!I4:I166)</f>
        <v>0</v>
      </c>
      <c r="D28" s="49" t="n">
        <f aca="false">SUMIF('DCL TCERS'!$G$4:$G$166,"outras-dividas",'DCL TCERS'!J4:J166)</f>
        <v>0</v>
      </c>
    </row>
    <row r="29" customFormat="false" ht="14.65" hidden="false" customHeight="false" outlineLevel="0" collapsed="false">
      <c r="A29" s="27" t="s">
        <v>421</v>
      </c>
      <c r="B29" s="49" t="n">
        <f aca="false">B30+B33</f>
        <v>2834903.8</v>
      </c>
      <c r="C29" s="49" t="n">
        <f aca="false">C30+C33</f>
        <v>3799039.88</v>
      </c>
      <c r="D29" s="49" t="n">
        <f aca="false">D30+D33</f>
        <v>0</v>
      </c>
    </row>
    <row r="30" customFormat="false" ht="14.65" hidden="false" customHeight="false" outlineLevel="0" collapsed="false">
      <c r="A30" s="27" t="s">
        <v>465</v>
      </c>
      <c r="B30" s="49" t="n">
        <f aca="false">IF(B31&lt;B32,0,B31-B32)</f>
        <v>2834903.8</v>
      </c>
      <c r="C30" s="49" t="n">
        <f aca="false">IF(C31&lt;C32,0,C31-C32)</f>
        <v>3799039.88</v>
      </c>
      <c r="D30" s="49" t="n">
        <f aca="false">IF(D31&lt;D32,0,D31-D32)</f>
        <v>0</v>
      </c>
      <c r="E30" s="54"/>
    </row>
    <row r="31" customFormat="false" ht="14.65" hidden="false" customHeight="false" outlineLevel="0" collapsed="false">
      <c r="A31" s="51" t="s">
        <v>466</v>
      </c>
      <c r="B31" s="49" t="n">
        <f aca="false">'DCL TCERS'!H170</f>
        <v>2861963.89</v>
      </c>
      <c r="C31" s="49" t="n">
        <f aca="false">'DCL TCERS'!I170</f>
        <v>3814559.92</v>
      </c>
      <c r="D31" s="49" t="n">
        <f aca="false">'DCL TCERS'!J170</f>
        <v>0</v>
      </c>
      <c r="E31" s="54"/>
    </row>
    <row r="32" customFormat="false" ht="14.65" hidden="false" customHeight="false" outlineLevel="0" collapsed="false">
      <c r="A32" s="51" t="s">
        <v>467</v>
      </c>
      <c r="B32" s="49" t="n">
        <f aca="false">'DCL TCERS'!H177</f>
        <v>27060.09</v>
      </c>
      <c r="C32" s="49" t="n">
        <f aca="false">'DCL TCERS'!I177</f>
        <v>15520.04</v>
      </c>
      <c r="D32" s="49" t="n">
        <f aca="false">'DCL TCERS'!J177</f>
        <v>0</v>
      </c>
      <c r="E32" s="54"/>
    </row>
    <row r="33" customFormat="false" ht="14.65" hidden="false" customHeight="false" outlineLevel="0" collapsed="false">
      <c r="A33" s="27" t="s">
        <v>425</v>
      </c>
      <c r="B33" s="49" t="n">
        <f aca="false">'DCL TCERS'!H180</f>
        <v>0</v>
      </c>
      <c r="C33" s="49" t="n">
        <f aca="false">'DCL TCERS'!I180</f>
        <v>0</v>
      </c>
      <c r="D33" s="49" t="n">
        <f aca="false">'DCL TCERS'!J180</f>
        <v>0</v>
      </c>
      <c r="E33" s="54"/>
    </row>
    <row r="34" customFormat="false" ht="14.65" hidden="false" customHeight="false" outlineLevel="0" collapsed="false">
      <c r="A34" s="55" t="s">
        <v>468</v>
      </c>
      <c r="B34" s="56" t="n">
        <f aca="false">B10-B29</f>
        <v>-2834903.8</v>
      </c>
      <c r="C34" s="56" t="n">
        <f aca="false">C10-C29</f>
        <v>-3799039.88</v>
      </c>
      <c r="D34" s="56" t="n">
        <f aca="false">D10-D29</f>
        <v>0</v>
      </c>
      <c r="E34" s="54"/>
    </row>
    <row r="35" customFormat="false" ht="14.65" hidden="false" customHeight="false" outlineLevel="0" collapsed="false">
      <c r="A35" s="27" t="s">
        <v>469</v>
      </c>
      <c r="B35" s="52" t="n">
        <v>20601298.39</v>
      </c>
      <c r="C35" s="52" t="n">
        <v>20769803.07</v>
      </c>
      <c r="D35" s="52" t="n">
        <v>20690244.25</v>
      </c>
      <c r="E35" s="54"/>
    </row>
    <row r="36" customFormat="false" ht="14.65" hidden="false" customHeight="false" outlineLevel="0" collapsed="false">
      <c r="A36" s="57" t="s">
        <v>470</v>
      </c>
      <c r="B36" s="49" t="n">
        <f aca="false">B10/B35</f>
        <v>0</v>
      </c>
      <c r="C36" s="49" t="n">
        <f aca="false">C10/C35</f>
        <v>0</v>
      </c>
      <c r="D36" s="49" t="n">
        <f aca="false">D10/D35</f>
        <v>0</v>
      </c>
      <c r="E36" s="54"/>
    </row>
    <row r="37" customFormat="false" ht="14.65" hidden="false" customHeight="false" outlineLevel="0" collapsed="false">
      <c r="A37" s="58" t="s">
        <v>471</v>
      </c>
      <c r="B37" s="56" t="n">
        <f aca="false">B34/B35</f>
        <v>-0.137608016074175</v>
      </c>
      <c r="C37" s="56" t="n">
        <f aca="false">C34/C35</f>
        <v>-0.182911694790566</v>
      </c>
      <c r="D37" s="56" t="n">
        <f aca="false">D34/D35</f>
        <v>0</v>
      </c>
      <c r="E37" s="54"/>
    </row>
    <row r="38" customFormat="false" ht="14.65" hidden="false" customHeight="false" outlineLevel="0" collapsed="false">
      <c r="A38" s="59" t="s">
        <v>472</v>
      </c>
      <c r="B38" s="49" t="n">
        <f aca="false">B35*1.2</f>
        <v>24721558.068</v>
      </c>
      <c r="C38" s="49" t="n">
        <f aca="false">C35*1.2</f>
        <v>24923763.684</v>
      </c>
      <c r="D38" s="49" t="n">
        <f aca="false">D35*1.2</f>
        <v>24828293.1</v>
      </c>
      <c r="E38" s="54"/>
    </row>
    <row r="39" customFormat="false" ht="14.65" hidden="false" customHeight="false" outlineLevel="0" collapsed="false">
      <c r="A39" s="59" t="s">
        <v>473</v>
      </c>
      <c r="B39" s="49" t="n">
        <f aca="false">B35*1.08</f>
        <v>22249402.2612</v>
      </c>
      <c r="C39" s="49" t="n">
        <f aca="false">C35*1.08</f>
        <v>22431387.3156</v>
      </c>
      <c r="D39" s="49" t="n">
        <f aca="false">D35*1.08</f>
        <v>22345463.79</v>
      </c>
      <c r="E39" s="54"/>
    </row>
    <row r="40" customFormat="false" ht="14.65" hidden="false" customHeight="false" outlineLevel="0" collapsed="false">
      <c r="A40" s="60"/>
      <c r="B40" s="61"/>
      <c r="C40" s="61"/>
      <c r="D40" s="61"/>
      <c r="E40" s="54"/>
    </row>
    <row r="41" customFormat="false" ht="14.65" hidden="false" customHeight="false" outlineLevel="0" collapsed="false">
      <c r="A41" s="45" t="s">
        <v>474</v>
      </c>
      <c r="B41" s="62" t="s">
        <v>444</v>
      </c>
      <c r="C41" s="62" t="str">
        <f aca="false">CONCATENATE("SALDO DO EXERCÍCIO DE ",YEAR('DCL TCERS'!F2))</f>
        <v>SALDO DO EXERCÍCIO DE 2017</v>
      </c>
      <c r="D41" s="62"/>
      <c r="E41" s="54"/>
    </row>
    <row r="42" customFormat="false" ht="14.65" hidden="false" customHeight="false" outlineLevel="0" collapsed="false">
      <c r="A42" s="45"/>
      <c r="B42" s="62" t="s">
        <v>445</v>
      </c>
      <c r="C42" s="48" t="s">
        <v>446</v>
      </c>
      <c r="D42" s="48" t="s">
        <v>447</v>
      </c>
      <c r="E42" s="54"/>
    </row>
    <row r="43" customFormat="false" ht="14.65" hidden="false" customHeight="false" outlineLevel="0" collapsed="false">
      <c r="A43" s="51" t="s">
        <v>475</v>
      </c>
      <c r="B43" s="49" t="n">
        <f aca="false">SUMIF('DCL TCERS'!$G$226:$G$276,"precatorios-antes",'DCL TCERS'!C226:C276)</f>
        <v>0</v>
      </c>
      <c r="C43" s="49" t="n">
        <f aca="false">SUMIF('DCL TCERS'!$G$226:$G$276,"precatorios-antes",'DCL TCERS'!D226:D276)</f>
        <v>0</v>
      </c>
      <c r="D43" s="49" t="n">
        <f aca="false">SUMIF('DCL TCERS'!$G$226:$G$276,"precatorios-antes",'DCL TCERS'!F226:F276)</f>
        <v>0</v>
      </c>
      <c r="E43" s="54"/>
    </row>
    <row r="44" customFormat="false" ht="14.65" hidden="false" customHeight="false" outlineLevel="0" collapsed="false">
      <c r="A44" s="51" t="s">
        <v>476</v>
      </c>
      <c r="B44" s="49" t="n">
        <f aca="false">SUMIF('DCL TCERS'!$G$226:$G$276,"precatorios",'DCL TCERS'!C226:C276)</f>
        <v>0</v>
      </c>
      <c r="C44" s="49" t="n">
        <f aca="false">SUMIF('DCL TCERS'!$G$226:$G$276,"precatorios",'DCL TCERS'!D226:D276)</f>
        <v>0</v>
      </c>
      <c r="D44" s="49" t="n">
        <f aca="false">SUMIF('DCL TCERS'!$G$226:$G$276,"precatorios",'DCL TCERS'!F226:F276)</f>
        <v>0</v>
      </c>
      <c r="E44" s="54"/>
    </row>
    <row r="45" customFormat="false" ht="14.65" hidden="false" customHeight="false" outlineLevel="0" collapsed="false">
      <c r="A45" s="51" t="s">
        <v>477</v>
      </c>
      <c r="B45" s="49" t="n">
        <f aca="false">SUMIF('DCL TCERS'!$G$226:$G$276,"provisao",'DCL TCERS'!C226:C276)</f>
        <v>0</v>
      </c>
      <c r="C45" s="49" t="n">
        <f aca="false">SUMIF('DCL TCERS'!$G$226:$G$276,"provisao",'DCL TCERS'!D226:D276)</f>
        <v>0</v>
      </c>
      <c r="D45" s="49" t="n">
        <f aca="false">SUMIF('DCL TCERS'!$G$226:$G$276,"provisao",'DCL TCERS'!F226:F276)</f>
        <v>0</v>
      </c>
      <c r="E45" s="54"/>
    </row>
    <row r="46" customFormat="false" ht="14.65" hidden="false" customHeight="false" outlineLevel="0" collapsed="false">
      <c r="A46" s="51" t="s">
        <v>478</v>
      </c>
      <c r="B46" s="49" t="n">
        <f aca="false">'DCL TCERS'!C277</f>
        <v>0</v>
      </c>
      <c r="C46" s="49" t="n">
        <f aca="false">'DCL TCERS'!D277</f>
        <v>0</v>
      </c>
      <c r="D46" s="49" t="n">
        <f aca="false">'DCL TCERS'!F277</f>
        <v>0</v>
      </c>
      <c r="E46" s="54"/>
    </row>
    <row r="47" customFormat="false" ht="14.65" hidden="false" customHeight="false" outlineLevel="0" collapsed="false">
      <c r="A47" s="51" t="s">
        <v>479</v>
      </c>
      <c r="B47" s="49" t="n">
        <f aca="false">SUMIF('DCL TCERS'!$G$226:$G$276,"depositos",'DCL TCERS'!C226:C276)</f>
        <v>0</v>
      </c>
      <c r="C47" s="49" t="n">
        <f aca="false">SUMIF('DCL TCERS'!$G$226:$G$276,"depositos",'DCL TCERS'!D226:D276)</f>
        <v>214046.02</v>
      </c>
      <c r="D47" s="49" t="n">
        <f aca="false">SUMIF('DCL TCERS'!$G$226:$G$276,"depositos",'DCL TCERS'!F226:F276)</f>
        <v>214046.02</v>
      </c>
      <c r="E47" s="54"/>
    </row>
    <row r="48" customFormat="false" ht="14.65" hidden="false" customHeight="false" outlineLevel="0" collapsed="false">
      <c r="A48" s="51" t="s">
        <v>480</v>
      </c>
      <c r="B48" s="49" t="n">
        <f aca="false">SUMIF('DCL TCERS'!$G$226:$G$276,"restos",'DCL TCERS'!C226:C276)</f>
        <v>708490.71</v>
      </c>
      <c r="C48" s="49" t="n">
        <f aca="false">SUMIF('DCL TCERS'!$G$226:$G$276,"restos",'DCL TCERS'!D226:D276)</f>
        <v>342722.19</v>
      </c>
      <c r="D48" s="49" t="n">
        <f aca="false">SUMIF('DCL TCERS'!$G$226:$G$276,"restos",'DCL TCERS'!F226:F276)</f>
        <v>342722.19</v>
      </c>
      <c r="E48" s="54"/>
    </row>
    <row r="49" customFormat="false" ht="14.65" hidden="false" customHeight="false" outlineLevel="0" collapsed="false">
      <c r="A49" s="51" t="s">
        <v>481</v>
      </c>
      <c r="B49" s="49" t="n">
        <f aca="false">SUMIF('DCL TCERS'!$G$226:$G$276,"aro",'DCL TCERS'!C226:C276)</f>
        <v>0</v>
      </c>
      <c r="C49" s="49" t="n">
        <f aca="false">SUMIF('DCL TCERS'!$G$226:$G$276,"aro",'DCL TCERS'!D226:D276)</f>
        <v>0</v>
      </c>
      <c r="D49" s="49" t="n">
        <f aca="false">SUMIF('DCL TCERS'!$G$226:$G$276,"aro",'DCL TCERS'!F226:F276)</f>
        <v>0</v>
      </c>
      <c r="E49" s="54"/>
    </row>
    <row r="50" customFormat="false" ht="14.65" hidden="false" customHeight="false" outlineLevel="0" collapsed="false">
      <c r="A50" s="63"/>
      <c r="B50" s="63"/>
      <c r="C50" s="63"/>
      <c r="D50" s="63"/>
    </row>
    <row r="51" customFormat="false" ht="33.3" hidden="false" customHeight="true" outlineLevel="0" collapsed="false">
      <c r="A51" s="64" t="s">
        <v>482</v>
      </c>
      <c r="B51" s="64"/>
      <c r="C51" s="64"/>
      <c r="D51" s="64"/>
    </row>
    <row r="52" customFormat="false" ht="33.3" hidden="false" customHeight="true" outlineLevel="0" collapsed="false">
      <c r="A52" s="64" t="s">
        <v>483</v>
      </c>
      <c r="B52" s="64"/>
      <c r="C52" s="64"/>
      <c r="D52" s="64"/>
    </row>
  </sheetData>
  <sheetProtection sheet="true" objects="true" scenarios="true"/>
  <mergeCells count="11">
    <mergeCell ref="A1:D1"/>
    <mergeCell ref="A2:D2"/>
    <mergeCell ref="A3:D3"/>
    <mergeCell ref="A4:D4"/>
    <mergeCell ref="A5:D5"/>
    <mergeCell ref="A8:A9"/>
    <mergeCell ref="C8:D8"/>
    <mergeCell ref="A41:A42"/>
    <mergeCell ref="C41:D41"/>
    <mergeCell ref="A51:D51"/>
    <mergeCell ref="A52:D52"/>
  </mergeCells>
  <printOptions headings="false" gridLines="false" gridLinesSet="true" horizontalCentered="true" verticalCentered="false"/>
  <pageMargins left="0.7875" right="0.7875" top="1.58055555555556" bottom="1.025" header="0.7875" footer="0.7875"/>
  <pageSetup paperSize="9" scale="100" firstPageNumber="1" fitToWidth="1" fitToHeight="100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&amp;C&amp;"Arial,Negrito"DEMONSTRATIVO DA DÍVIDA CONSOLIDADA LÍQUIDA – DCL
Modelo 4 do SIAPC/PAD
Lei Complementar n] 101/2000, art. 54 e alínea “b” do inciso I do art. 55
Resolução nº 40/2001, do Senado Federal, art. 1º, § 1º, inciso V
Instrução Normativa TCE/RS nº 6/2017</oddHeader>
    <oddFooter>&amp;CPágina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325</TotalTime>
  <Application>LibreOffice/5.3.4.2$Linux_X86_64 LibreOffice_project/f82d347ccc0be322489bf7da61d7e4ad13fe2ff3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2017-07-11T09:08:13Z</dcterms:created>
  <dc:creator>Everton da Rosa</dc:creator>
  <dc:description/>
  <dc:language>pt-BR</dc:language>
  <cp:lastModifiedBy>Everton da Rosa</cp:lastModifiedBy>
  <cp:lastPrinted>2017-07-12T09:37:03Z</cp:lastPrinted>
  <dcterms:modified xsi:type="dcterms:W3CDTF">2017-07-13T16:35:17Z</dcterms:modified>
  <cp:revision>38</cp:revision>
  <dc:subject/>
  <dc:title/>
</cp:coreProperties>
</file>