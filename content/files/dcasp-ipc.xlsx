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verton\Documents\Prefeitura\2015\Contabilidade\DCASP\"/>
    </mc:Choice>
  </mc:AlternateContent>
  <bookViews>
    <workbookView xWindow="0" yWindow="0" windowWidth="20490" windowHeight="7755"/>
  </bookViews>
  <sheets>
    <sheet name="BO" sheetId="5" r:id="rId1"/>
    <sheet name="BF" sheetId="3" r:id="rId2"/>
    <sheet name="BP" sheetId="2" r:id="rId3"/>
    <sheet name="DVP" sheetId="1" r:id="rId4"/>
    <sheet name="DFC" sheetId="4" r:id="rId5"/>
    <sheet name="Consistência" sheetId="6" r:id="rId6"/>
  </sheets>
  <definedNames>
    <definedName name="_xlnm._FilterDatabase" localSheetId="4" hidden="1">DFC!$A$8:$C$90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6" l="1"/>
  <c r="C7" i="6"/>
  <c r="C6" i="6"/>
  <c r="C114" i="2" l="1"/>
  <c r="B114" i="2"/>
  <c r="C13" i="6" l="1"/>
  <c r="B17" i="6"/>
  <c r="B16" i="6"/>
  <c r="B9" i="6"/>
  <c r="B7" i="6"/>
  <c r="B6" i="6"/>
  <c r="B5" i="6"/>
  <c r="B4" i="6"/>
  <c r="B3" i="6"/>
  <c r="C2" i="6"/>
  <c r="B2" i="6"/>
  <c r="D2" i="6" s="1"/>
  <c r="C6" i="4"/>
  <c r="C4" i="4"/>
  <c r="A3" i="4"/>
  <c r="A2" i="4"/>
  <c r="A1" i="4"/>
  <c r="C6" i="1"/>
  <c r="B4" i="1"/>
  <c r="A3" i="1"/>
  <c r="A2" i="1"/>
  <c r="A1" i="1"/>
  <c r="C6" i="2"/>
  <c r="C4" i="2"/>
  <c r="A3" i="2"/>
  <c r="A2" i="2"/>
  <c r="A1" i="2"/>
  <c r="G6" i="3"/>
  <c r="G4" i="3"/>
  <c r="A3" i="3"/>
  <c r="A2" i="3"/>
  <c r="A1" i="3"/>
  <c r="F87" i="5"/>
  <c r="F86" i="5"/>
  <c r="F85" i="5"/>
  <c r="F83" i="5"/>
  <c r="F82" i="5"/>
  <c r="F81" i="5"/>
  <c r="E84" i="5"/>
  <c r="D84" i="5"/>
  <c r="F84" i="5" s="1"/>
  <c r="C84" i="5"/>
  <c r="E80" i="5"/>
  <c r="D80" i="5"/>
  <c r="C80" i="5"/>
  <c r="B84" i="5"/>
  <c r="B80" i="5"/>
  <c r="G74" i="5"/>
  <c r="G73" i="5"/>
  <c r="G72" i="5"/>
  <c r="G70" i="5"/>
  <c r="G69" i="5"/>
  <c r="G68" i="5"/>
  <c r="F71" i="5"/>
  <c r="E71" i="5"/>
  <c r="D71" i="5"/>
  <c r="C71" i="5"/>
  <c r="F67" i="5"/>
  <c r="E67" i="5"/>
  <c r="D67" i="5"/>
  <c r="C67" i="5"/>
  <c r="B71" i="5"/>
  <c r="B67" i="5"/>
  <c r="G59" i="5"/>
  <c r="G58" i="5"/>
  <c r="G56" i="5"/>
  <c r="G55" i="5"/>
  <c r="G51" i="5"/>
  <c r="G50" i="5"/>
  <c r="G49" i="5"/>
  <c r="G48" i="5"/>
  <c r="G47" i="5"/>
  <c r="G45" i="5"/>
  <c r="G44" i="5"/>
  <c r="G43" i="5"/>
  <c r="F57" i="5"/>
  <c r="E57" i="5"/>
  <c r="D57" i="5"/>
  <c r="C57" i="5"/>
  <c r="F54" i="5"/>
  <c r="F53" i="5" s="1"/>
  <c r="E54" i="5"/>
  <c r="E53" i="5" s="1"/>
  <c r="D54" i="5"/>
  <c r="D53" i="5" s="1"/>
  <c r="C54" i="5"/>
  <c r="C53" i="5" s="1"/>
  <c r="F46" i="5"/>
  <c r="E46" i="5"/>
  <c r="D46" i="5"/>
  <c r="C46" i="5"/>
  <c r="F42" i="5"/>
  <c r="E42" i="5"/>
  <c r="D42" i="5"/>
  <c r="C42" i="5"/>
  <c r="B57" i="5"/>
  <c r="B54" i="5"/>
  <c r="B46" i="5"/>
  <c r="B42" i="5"/>
  <c r="B88" i="5" l="1"/>
  <c r="E88" i="5"/>
  <c r="D88" i="5"/>
  <c r="C17" i="6" s="1"/>
  <c r="D17" i="6" s="1"/>
  <c r="C88" i="5"/>
  <c r="F88" i="5" s="1"/>
  <c r="E75" i="5"/>
  <c r="C16" i="6" s="1"/>
  <c r="D16" i="6" s="1"/>
  <c r="D75" i="5"/>
  <c r="C75" i="5"/>
  <c r="B52" i="5"/>
  <c r="C52" i="5"/>
  <c r="F52" i="5"/>
  <c r="F60" i="5" s="1"/>
  <c r="E52" i="5"/>
  <c r="E60" i="5" s="1"/>
  <c r="G46" i="5"/>
  <c r="D52" i="5"/>
  <c r="D60" i="5" s="1"/>
  <c r="D6" i="6"/>
  <c r="D7" i="6"/>
  <c r="F80" i="5"/>
  <c r="G67" i="5"/>
  <c r="F75" i="5"/>
  <c r="G71" i="5"/>
  <c r="B75" i="5"/>
  <c r="G57" i="5"/>
  <c r="G53" i="5"/>
  <c r="G42" i="5"/>
  <c r="G54" i="5"/>
  <c r="B53" i="5"/>
  <c r="E39" i="5"/>
  <c r="E38" i="5"/>
  <c r="E33" i="5"/>
  <c r="E32" i="5"/>
  <c r="E31" i="5"/>
  <c r="E30" i="5"/>
  <c r="E29" i="5"/>
  <c r="E25" i="5"/>
  <c r="E24" i="5"/>
  <c r="E23" i="5"/>
  <c r="E22" i="5"/>
  <c r="E21" i="5"/>
  <c r="E20" i="5"/>
  <c r="E18" i="5"/>
  <c r="E17" i="5"/>
  <c r="E16" i="5"/>
  <c r="E15" i="5"/>
  <c r="E14" i="5"/>
  <c r="E13" i="5"/>
  <c r="E12" i="5"/>
  <c r="E11" i="5"/>
  <c r="D37" i="5"/>
  <c r="C37" i="5"/>
  <c r="B37" i="5"/>
  <c r="B31" i="5"/>
  <c r="D28" i="5"/>
  <c r="D27" i="5" s="1"/>
  <c r="C28" i="5"/>
  <c r="C27" i="5" s="1"/>
  <c r="B28" i="5"/>
  <c r="D19" i="5"/>
  <c r="C19" i="5"/>
  <c r="B19" i="5"/>
  <c r="D10" i="5"/>
  <c r="C10" i="5"/>
  <c r="B10" i="5"/>
  <c r="C85" i="4"/>
  <c r="C80" i="4"/>
  <c r="C75" i="4"/>
  <c r="C71" i="4"/>
  <c r="C63" i="4"/>
  <c r="C62" i="4" s="1"/>
  <c r="C58" i="4"/>
  <c r="C29" i="4"/>
  <c r="C21" i="4"/>
  <c r="C20" i="4" s="1"/>
  <c r="C11" i="4"/>
  <c r="B85" i="4"/>
  <c r="B80" i="4"/>
  <c r="B75" i="4"/>
  <c r="B71" i="4"/>
  <c r="B63" i="4"/>
  <c r="B62" i="4" s="1"/>
  <c r="B58" i="4"/>
  <c r="B29" i="4"/>
  <c r="B21" i="4"/>
  <c r="B20" i="4" s="1"/>
  <c r="B11" i="4"/>
  <c r="C30" i="3"/>
  <c r="D47" i="3"/>
  <c r="D46" i="3"/>
  <c r="D45" i="3"/>
  <c r="D44" i="3"/>
  <c r="D43" i="3"/>
  <c r="D42" i="3"/>
  <c r="G47" i="3"/>
  <c r="G46" i="3"/>
  <c r="G45" i="3"/>
  <c r="G44" i="3"/>
  <c r="G43" i="3"/>
  <c r="G42" i="3"/>
  <c r="G40" i="3"/>
  <c r="D40" i="3"/>
  <c r="F41" i="3"/>
  <c r="F48" i="3" s="1"/>
  <c r="E41" i="3"/>
  <c r="E48" i="3" s="1"/>
  <c r="C41" i="3"/>
  <c r="C48" i="3" s="1"/>
  <c r="B41" i="3"/>
  <c r="B48" i="3" s="1"/>
  <c r="G30" i="3"/>
  <c r="F30" i="3"/>
  <c r="G25" i="3"/>
  <c r="F25" i="3"/>
  <c r="G20" i="3"/>
  <c r="F20" i="3"/>
  <c r="G13" i="3"/>
  <c r="G11" i="3" s="1"/>
  <c r="F13" i="3"/>
  <c r="F11" i="3" s="1"/>
  <c r="B15" i="6" s="1"/>
  <c r="B30" i="3"/>
  <c r="C3" i="6" s="1"/>
  <c r="D3" i="6" s="1"/>
  <c r="C25" i="3"/>
  <c r="B25" i="3"/>
  <c r="C20" i="3"/>
  <c r="B20" i="3"/>
  <c r="C13" i="3"/>
  <c r="C11" i="3" s="1"/>
  <c r="B13" i="3"/>
  <c r="B11" i="3" s="1"/>
  <c r="B14" i="6" s="1"/>
  <c r="C79" i="4" l="1"/>
  <c r="B28" i="4"/>
  <c r="C28" i="4"/>
  <c r="D41" i="3"/>
  <c r="D48" i="3" s="1"/>
  <c r="G75" i="5"/>
  <c r="B60" i="5"/>
  <c r="G52" i="5"/>
  <c r="C60" i="5"/>
  <c r="G60" i="5" s="1"/>
  <c r="B18" i="6"/>
  <c r="C4" i="6"/>
  <c r="D4" i="6" s="1"/>
  <c r="C18" i="6"/>
  <c r="C15" i="6"/>
  <c r="D15" i="6" s="1"/>
  <c r="E37" i="5"/>
  <c r="E19" i="5"/>
  <c r="E27" i="5"/>
  <c r="E10" i="5"/>
  <c r="E28" i="5"/>
  <c r="B26" i="5"/>
  <c r="C26" i="5"/>
  <c r="C34" i="5" s="1"/>
  <c r="D26" i="5"/>
  <c r="B27" i="5"/>
  <c r="C70" i="4"/>
  <c r="C10" i="4"/>
  <c r="C9" i="4" s="1"/>
  <c r="B79" i="4"/>
  <c r="B70" i="4"/>
  <c r="B10" i="4"/>
  <c r="B9" i="4" s="1"/>
  <c r="G34" i="3"/>
  <c r="C34" i="3"/>
  <c r="B34" i="3"/>
  <c r="B19" i="6" s="1"/>
  <c r="G41" i="3"/>
  <c r="G48" i="3" s="1"/>
  <c r="F34" i="3"/>
  <c r="C19" i="6" s="1"/>
  <c r="C88" i="4" l="1"/>
  <c r="C5" i="6"/>
  <c r="D5" i="6" s="1"/>
  <c r="D18" i="6"/>
  <c r="D19" i="6"/>
  <c r="C35" i="5"/>
  <c r="C36" i="5" s="1"/>
  <c r="C61" i="5"/>
  <c r="C62" i="5" s="1"/>
  <c r="B34" i="5"/>
  <c r="D34" i="5"/>
  <c r="E26" i="5"/>
  <c r="B88" i="4"/>
  <c r="C14" i="6" l="1"/>
  <c r="D14" i="6" s="1"/>
  <c r="F61" i="5"/>
  <c r="F62" i="5" s="1"/>
  <c r="E61" i="5"/>
  <c r="D61" i="5"/>
  <c r="D35" i="5"/>
  <c r="E35" i="5" s="1"/>
  <c r="B35" i="5"/>
  <c r="B36" i="5" s="1"/>
  <c r="B61" i="5"/>
  <c r="B62" i="5" s="1"/>
  <c r="E34" i="5"/>
  <c r="C71" i="2"/>
  <c r="B71" i="2"/>
  <c r="C66" i="2"/>
  <c r="B66" i="2"/>
  <c r="C59" i="2"/>
  <c r="C56" i="2"/>
  <c r="C62" i="2" s="1"/>
  <c r="C44" i="2"/>
  <c r="C36" i="2"/>
  <c r="C28" i="2"/>
  <c r="C18" i="2"/>
  <c r="C17" i="2" s="1"/>
  <c r="C11" i="2"/>
  <c r="D36" i="5" l="1"/>
  <c r="E36" i="5" s="1"/>
  <c r="C10" i="2"/>
  <c r="B11" i="6" s="1"/>
  <c r="C27" i="2"/>
  <c r="C11" i="6" s="1"/>
  <c r="C9" i="6"/>
  <c r="D9" i="6" s="1"/>
  <c r="B59" i="2"/>
  <c r="B56" i="2"/>
  <c r="B44" i="2"/>
  <c r="B36" i="2"/>
  <c r="B28" i="2"/>
  <c r="B18" i="2"/>
  <c r="B17" i="2" s="1"/>
  <c r="B11" i="2"/>
  <c r="B13" i="6" l="1"/>
  <c r="D13" i="6" s="1"/>
  <c r="B62" i="2"/>
  <c r="C12" i="6"/>
  <c r="D11" i="6"/>
  <c r="E62" i="5"/>
  <c r="D62" i="5"/>
  <c r="B27" i="2"/>
  <c r="C10" i="6" s="1"/>
  <c r="B10" i="2"/>
  <c r="B10" i="6" l="1"/>
  <c r="D10" i="6" s="1"/>
  <c r="B12" i="6"/>
  <c r="D12" i="6" s="1"/>
  <c r="C97" i="1"/>
  <c r="C93" i="1"/>
  <c r="C90" i="1"/>
  <c r="C84" i="1"/>
  <c r="C75" i="1"/>
  <c r="C69" i="1"/>
  <c r="C65" i="1"/>
  <c r="C58" i="1"/>
  <c r="C53" i="1"/>
  <c r="C46" i="1"/>
  <c r="C40" i="1"/>
  <c r="C30" i="1"/>
  <c r="C23" i="1"/>
  <c r="C19" i="1"/>
  <c r="C14" i="1"/>
  <c r="C10" i="1"/>
  <c r="C52" i="1" l="1"/>
  <c r="C9" i="1"/>
  <c r="C106" i="1" l="1"/>
  <c r="B97" i="1" l="1"/>
  <c r="B93" i="1"/>
  <c r="B90" i="1"/>
  <c r="B84" i="1"/>
  <c r="B75" i="1"/>
  <c r="B69" i="1"/>
  <c r="B65" i="1"/>
  <c r="B58" i="1"/>
  <c r="B53" i="1"/>
  <c r="B46" i="1"/>
  <c r="B40" i="1"/>
  <c r="B30" i="1"/>
  <c r="B23" i="1"/>
  <c r="B19" i="1"/>
  <c r="B14" i="1"/>
  <c r="B10" i="1"/>
  <c r="B52" i="1" l="1"/>
  <c r="B9" i="1"/>
  <c r="B8" i="6" s="1"/>
  <c r="D8" i="6" l="1"/>
  <c r="B106" i="1"/>
</calcChain>
</file>

<file path=xl/sharedStrings.xml><?xml version="1.0" encoding="utf-8"?>
<sst xmlns="http://schemas.openxmlformats.org/spreadsheetml/2006/main" count="488" uniqueCount="398">
  <si>
    <t>VARIAÇÕES PATRIMONIAIS AUMENTATIVAS</t>
  </si>
  <si>
    <t>Impostos, Taxas e Contribuições de Melhoria</t>
  </si>
  <si>
    <t>Impostos</t>
  </si>
  <si>
    <t>Taxas</t>
  </si>
  <si>
    <t>Contribuições de Melhoria</t>
  </si>
  <si>
    <t>Contribuições</t>
  </si>
  <si>
    <t>Contribuições Sociais</t>
  </si>
  <si>
    <t>Contribuições de Intervenção no domínio econômico</t>
  </si>
  <si>
    <t>Contribuição de Iluminação Pública</t>
  </si>
  <si>
    <t>Contribuições de Interesse das Categorias Profissionais</t>
  </si>
  <si>
    <t>Exploração e Venda de Bens, Serviços e Direitos</t>
  </si>
  <si>
    <t>Venda de Mercadorias</t>
  </si>
  <si>
    <t>Venda de Produtos</t>
  </si>
  <si>
    <t>Exploração de Bens e Direitos e Prestação de Serviços</t>
  </si>
  <si>
    <t>Variações Patrimoniais Aumentativas Financeiras</t>
  </si>
  <si>
    <t>Juros e Encargos de Empréstimos e Financiamentos Concedidos</t>
  </si>
  <si>
    <t>Juros e Encargos de Mora</t>
  </si>
  <si>
    <t>Variações Monetárias e Cambiais</t>
  </si>
  <si>
    <t>Descontos Financeiros Obtidos</t>
  </si>
  <si>
    <t>Remuneração de Depósitos Bancários e Aplicações Financeiras</t>
  </si>
  <si>
    <t>Outras Variações Patrimoniais Aumentativas – Financeiras</t>
  </si>
  <si>
    <t>Transferências e Delegações Recebidas</t>
  </si>
  <si>
    <t>Transferências Intragovernamentais</t>
  </si>
  <si>
    <t>Transferências Intergovernamentais</t>
  </si>
  <si>
    <t>Transferências das Instituições Privadas</t>
  </si>
  <si>
    <t>Transferências das Instituições Multigovernamentais</t>
  </si>
  <si>
    <t>Transferências de Consórcios Públicos</t>
  </si>
  <si>
    <t>Transferências do Exterior</t>
  </si>
  <si>
    <t>Execução Orçamentária Delegada de Entes</t>
  </si>
  <si>
    <t>Transferências de Pessoas Físicas</t>
  </si>
  <si>
    <t>Outras Transferências e Delegações Recebidas</t>
  </si>
  <si>
    <t>Valorização e Ganhos com Ativos e Desincorporação de Passivos</t>
  </si>
  <si>
    <t>Reavaliação de Ativos</t>
  </si>
  <si>
    <t>Ganhos com Alienação</t>
  </si>
  <si>
    <t>Ganhos com Incorporação de Ativos</t>
  </si>
  <si>
    <t>Ganhos com Desincorporação de Passivos</t>
  </si>
  <si>
    <t>Reversão de Redução ao Valor Recuperável</t>
  </si>
  <si>
    <t>Outras Variações Patrimoniais Aumentativas</t>
  </si>
  <si>
    <t>Variação Patrimonial Aumentativa a Classificar</t>
  </si>
  <si>
    <t>Resultado Positivo de Participações</t>
  </si>
  <si>
    <t>Reversão de Provisões e Ajustes de Perdas</t>
  </si>
  <si>
    <t>Diversas Variações Patrimoniais Aumentativas</t>
  </si>
  <si>
    <t>VARIAÇÕES PATRIMONIAIS DIMINUTIVAS</t>
  </si>
  <si>
    <t>Pessoal e Encargos</t>
  </si>
  <si>
    <t>Remuneração a Pessoal</t>
  </si>
  <si>
    <t>Encargos Patronais</t>
  </si>
  <si>
    <t>Benefícios a Pessoal</t>
  </si>
  <si>
    <t>Outras Variações Patrimoniais Diminutivas - Pessoal e Encargos</t>
  </si>
  <si>
    <t>Benefícios Previdenciários e Assistenciais</t>
  </si>
  <si>
    <t>Aposentadorias e Reformas</t>
  </si>
  <si>
    <t>Pensões</t>
  </si>
  <si>
    <t>Benefícios de Prestação Continuada</t>
  </si>
  <si>
    <t>Benefícios Eventuais</t>
  </si>
  <si>
    <t>Políticas Públicas de Transferência de Renda</t>
  </si>
  <si>
    <t>Outros Benefícios Previdenciários e Assistenciais</t>
  </si>
  <si>
    <t>Uso de Bens, Serviços e Consumo de Capital Fixo</t>
  </si>
  <si>
    <t>Uso de material de consumo</t>
  </si>
  <si>
    <t>Serviços</t>
  </si>
  <si>
    <t>Depreciação, Amortização e Exaustão</t>
  </si>
  <si>
    <t>Variações Patrimoniais Diminutivas Financeiras</t>
  </si>
  <si>
    <t>Juros e Encargos de Empréstimos e Financiamentos Obtidos</t>
  </si>
  <si>
    <t>Descontos Financeiros Concedidos</t>
  </si>
  <si>
    <t>Outras Variações Patrimoniais Diminutivas – Financeiras</t>
  </si>
  <si>
    <t>Transferências e Delegações Concedidas</t>
  </si>
  <si>
    <t>Transferências a Instituições Privadas</t>
  </si>
  <si>
    <t>Transferências a Instituições Multigovernamentais</t>
  </si>
  <si>
    <t>Transferências a Consórcios Públicos</t>
  </si>
  <si>
    <t>Transferências ao Exterior</t>
  </si>
  <si>
    <t>Execução Orçamentária Delegada a Entes</t>
  </si>
  <si>
    <t>Outras Transferências e Delegações Concedidas</t>
  </si>
  <si>
    <t>Desvalorização e Perda de Ativos e Incorporação de Passivos</t>
  </si>
  <si>
    <t>Reavaliação, Redução a Valor Recuperável e Ajuste para Perdas</t>
  </si>
  <si>
    <t>Perdas com Alienação</t>
  </si>
  <si>
    <t>Perdas Involuntárias</t>
  </si>
  <si>
    <t>Incorporação de Passivos</t>
  </si>
  <si>
    <t>Desincorporação de Ativos</t>
  </si>
  <si>
    <t>Tributárias</t>
  </si>
  <si>
    <t>Custo das Mercadorias e dos Produtos Vendidos, e dos Serviços Prestados</t>
  </si>
  <si>
    <t>Custo das Mercadorias Vendidas</t>
  </si>
  <si>
    <t>Custo dos Produtos Vendidos</t>
  </si>
  <si>
    <t>Custo dos Serviços Prestados</t>
  </si>
  <si>
    <t>Outras Variações Patrimoniais Diminutivas</t>
  </si>
  <si>
    <t>Premiações</t>
  </si>
  <si>
    <t>Resultado Negativo de Participações</t>
  </si>
  <si>
    <t>Incentivos</t>
  </si>
  <si>
    <t>Subvenções Econômicas</t>
  </si>
  <si>
    <t>Participações e Contribuições</t>
  </si>
  <si>
    <t>Constituição de Provisões</t>
  </si>
  <si>
    <t>Diversas Variações Patrimoniais Diminutivas</t>
  </si>
  <si>
    <t>RESULTADO PATRIMONIAL DO PERÍODO</t>
  </si>
  <si>
    <t>Exercício Atual</t>
  </si>
  <si>
    <t>Exercício Anterior</t>
  </si>
  <si>
    <t>Conta</t>
  </si>
  <si>
    <t>MUNICÍPIO DE INDEPENDÊNCIA</t>
  </si>
  <si>
    <t>Estado do Rio Grande do Sul</t>
  </si>
  <si>
    <t>DEMONSTRAÇÃO DAS VARIAÇÕES PATRIMONIAIS</t>
  </si>
  <si>
    <t>Exercício:</t>
  </si>
  <si>
    <t>CNPJ</t>
  </si>
  <si>
    <t>12.091.144/0001-80</t>
  </si>
  <si>
    <t>Campo</t>
  </si>
  <si>
    <t>ATIVO</t>
  </si>
  <si>
    <t>Ativo Circulante</t>
  </si>
  <si>
    <t>Caixa e Equivalentes de Caixa</t>
  </si>
  <si>
    <t>Créditos a Curto Prazo</t>
  </si>
  <si>
    <t>Investimentos e Aplicações Temporárias a Curto Prazo</t>
  </si>
  <si>
    <t>Estoques</t>
  </si>
  <si>
    <t>VPD Pagas Antecipadamente</t>
  </si>
  <si>
    <t>Ativo Não Circulante</t>
  </si>
  <si>
    <t>Realizável a Longo Prazo</t>
  </si>
  <si>
    <t>Créditos a Longo Prazo</t>
  </si>
  <si>
    <t>Investimentos Temporários a Longo Prazo</t>
  </si>
  <si>
    <t>VPD pagas antecipadamente</t>
  </si>
  <si>
    <t>Investimentos</t>
  </si>
  <si>
    <t>Imobilizado</t>
  </si>
  <si>
    <t>Intangível</t>
  </si>
  <si>
    <t>Diferido</t>
  </si>
  <si>
    <t>PASSIVO E PATRIMÔNIO LÍQUIDO</t>
  </si>
  <si>
    <t>Passivo Circulante</t>
  </si>
  <si>
    <t>Obrigações Trabalhistas, Previdenciárias e Assistenciais a Pagar a Curto Prazo</t>
  </si>
  <si>
    <t>Empréstimos e Financiamentos a Curto Prazo</t>
  </si>
  <si>
    <t>Fornecedores e Contas a Pagar a Curto Prazo</t>
  </si>
  <si>
    <t>Obrigações Fiscais a Curto Prazo</t>
  </si>
  <si>
    <t>Obrigações de Repartições a Outros Entes</t>
  </si>
  <si>
    <t>Provisões a Curto Prazo</t>
  </si>
  <si>
    <t>Demais Obrigações a Curto Prazo</t>
  </si>
  <si>
    <t>Passivo Não Circulante</t>
  </si>
  <si>
    <t>Obrigações Trabalhistas, Previdenciárias e Assistenciais a Pagar a Longo Prazo</t>
  </si>
  <si>
    <t>Empréstimos e Financiamentos a Longo Prazo</t>
  </si>
  <si>
    <t>Fornecedores e Contas a Pagar a Longo Prazo</t>
  </si>
  <si>
    <t>Obrigações Fiscais a Longo Prazo</t>
  </si>
  <si>
    <t>Provisões a Longo Prazo</t>
  </si>
  <si>
    <t>Demais Obrigações a Longo Prazo</t>
  </si>
  <si>
    <t>Resultado Diferido</t>
  </si>
  <si>
    <t>Patrimônio Líquido</t>
  </si>
  <si>
    <t>Patrimônio Social e Capital Social</t>
  </si>
  <si>
    <t>Adiantamento Para Futuro Aumento de Capital</t>
  </si>
  <si>
    <t>Reservas de Capital</t>
  </si>
  <si>
    <t>Ajustes de Avaliação Patrimonial</t>
  </si>
  <si>
    <t>Reservas de Lucros</t>
  </si>
  <si>
    <t>Demais Reservas</t>
  </si>
  <si>
    <t>Resultados Acumulados</t>
  </si>
  <si>
    <t>(-) Ações / Cotas em Tesouraria</t>
  </si>
  <si>
    <t>Quadro Principal</t>
  </si>
  <si>
    <t>Quadro dos Ativos e Passivos Financeiros e Permanentes</t>
  </si>
  <si>
    <t>Ativo Financeiro</t>
  </si>
  <si>
    <t>Ativo Permanente</t>
  </si>
  <si>
    <t>PASSIVO</t>
  </si>
  <si>
    <t>Passivo Financeiro</t>
  </si>
  <si>
    <t>Passivo Permanente</t>
  </si>
  <si>
    <t>Saldo Patrimonial</t>
  </si>
  <si>
    <t>Quadro das Contas de Compensação</t>
  </si>
  <si>
    <t>Atos Potenciais Ativos</t>
  </si>
  <si>
    <t>Garantias e Contra garantias recebidas</t>
  </si>
  <si>
    <t>Direitos Conveniados e outros instrumentos congêneres</t>
  </si>
  <si>
    <t>Direitos Contratuais</t>
  </si>
  <si>
    <t>Outros atos potenciais ativos</t>
  </si>
  <si>
    <t>Atos Potenciais Passivos</t>
  </si>
  <si>
    <t>Garantias e Contra garantias concedidas</t>
  </si>
  <si>
    <t>Obrigações conveniadas e outros instrumentos congêneres</t>
  </si>
  <si>
    <t>Obrigações contratuais</t>
  </si>
  <si>
    <t>Outros atos potenciais passivos</t>
  </si>
  <si>
    <t>Quadro do Superávit / Déficit Financeiro</t>
  </si>
  <si>
    <t>Total</t>
  </si>
  <si>
    <t>BALANÇO PATRIMONIAL</t>
  </si>
  <si>
    <t>Fonte de Recurso</t>
  </si>
  <si>
    <t>0050 RPPS</t>
  </si>
  <si>
    <t>BALANÇO FINANCEIRO</t>
  </si>
  <si>
    <t>INGRESSOS</t>
  </si>
  <si>
    <t>ESPECIFICAÇÃO</t>
  </si>
  <si>
    <t>Receita Orçamentária (I)</t>
  </si>
  <si>
    <t>Ordinária</t>
  </si>
  <si>
    <t>Vinculada</t>
  </si>
  <si>
    <t>Recursos Vinculados à Educação</t>
  </si>
  <si>
    <t>Recursos Vinculados à Saúde</t>
  </si>
  <si>
    <t>Recursos Vinculados à Previdência Social - RPPS</t>
  </si>
  <si>
    <t>Recursos Vinculados à Previdência Social - RGPS</t>
  </si>
  <si>
    <t>Recursos Vinculados à Seguridade Social</t>
  </si>
  <si>
    <t>Outras Destinações de Recursos</t>
  </si>
  <si>
    <t>Transferências Financeiras Recebidas (II)</t>
  </si>
  <si>
    <t>Transferências Recebidas para a Execução Orçamentária</t>
  </si>
  <si>
    <t>Transferências Recebidas Independentes de Execução Orçamentária</t>
  </si>
  <si>
    <t>Transferências Recebidas para Aportes de recursos para o RPPS</t>
  </si>
  <si>
    <t>Transferências Recebidas para Aportes de recursos para o RGPS</t>
  </si>
  <si>
    <t>Recebimentos Extraorçamentários (III)</t>
  </si>
  <si>
    <t>Inscrição de Restos a Pagar Não Processados</t>
  </si>
  <si>
    <t>Inscrição de Restos a Pagar Processados</t>
  </si>
  <si>
    <t>Depósitos Restituíveis e Valores Vinculados</t>
  </si>
  <si>
    <t>Outros Recebimentos Extraorçamentários</t>
  </si>
  <si>
    <t>Saldo do Exercício Anterior (IV)</t>
  </si>
  <si>
    <t>TOTAL (V) = (I+II+III+IV)</t>
  </si>
  <si>
    <t>DISPÊNDIOS</t>
  </si>
  <si>
    <t>Despesa Orçamentária (VI)</t>
  </si>
  <si>
    <t>Recursos Destinados à Educação</t>
  </si>
  <si>
    <t>Recursos Destinados à Saúde</t>
  </si>
  <si>
    <t>Recursos Destinado a Previdência Social - RPPS</t>
  </si>
  <si>
    <t>Recursos Destinado a Previdência Social - RGPS</t>
  </si>
  <si>
    <t>Recursos Destinado a Seguridade Social</t>
  </si>
  <si>
    <t>Transferências Financeiras Concedidas (VII)</t>
  </si>
  <si>
    <t>Transferências Concedidas para a Execução Orçamentária</t>
  </si>
  <si>
    <t>Transferências Concedidas Independentes de Execução Orçamentária</t>
  </si>
  <si>
    <t>Transferências Concedidas para Aportes de recursos para o RPPS</t>
  </si>
  <si>
    <t>Transferências Concedidas para Aportes de recursos para o RGPS</t>
  </si>
  <si>
    <t>Pagamentos Extraorçamentários (VIII)</t>
  </si>
  <si>
    <t>Pagamentos de Restos a Pagar Não Processados</t>
  </si>
  <si>
    <t>Pagamentos de Restos a Pagar Processados</t>
  </si>
  <si>
    <t>Outros Pagamentos Extraorçamentários</t>
  </si>
  <si>
    <t>Saldo para o Exercício Seguinte (IX)</t>
  </si>
  <si>
    <t>TOTAL (X) = (VI+VII+VIII+IX)</t>
  </si>
  <si>
    <t>Quadro Anexo</t>
  </si>
  <si>
    <t>Deduções da Receita Orçamentária</t>
  </si>
  <si>
    <t>(b)</t>
  </si>
  <si>
    <t>Saldo</t>
  </si>
  <si>
    <t>(c) = (a - b)</t>
  </si>
  <si>
    <t>(e)</t>
  </si>
  <si>
    <t>(f) = (d - e)</t>
  </si>
  <si>
    <t>TOTAL</t>
  </si>
  <si>
    <t>Receita Orçamentária</t>
  </si>
  <si>
    <t>(a)</t>
  </si>
  <si>
    <t>(d)</t>
  </si>
  <si>
    <t>FLUXOS DE CAIXA DAS ATIVIDADES OPERACIONAIS (I)</t>
  </si>
  <si>
    <t>Ingressos</t>
  </si>
  <si>
    <t>Receitas derivadas e originárias</t>
  </si>
  <si>
    <t>Receita Tributária</t>
  </si>
  <si>
    <t>Receita de Contribuições</t>
  </si>
  <si>
    <t>Receita Patrimonial</t>
  </si>
  <si>
    <t>Receita Agropecuária</t>
  </si>
  <si>
    <t>Receita Industrial</t>
  </si>
  <si>
    <t>Receita de Serviços</t>
  </si>
  <si>
    <t>Remuneração das Disponibilidades</t>
  </si>
  <si>
    <t>Outras Receitas Derivadas e Originárias</t>
  </si>
  <si>
    <t>Transferências correntes recebidas</t>
  </si>
  <si>
    <t>Intergovernamentais</t>
  </si>
  <si>
    <t>da União</t>
  </si>
  <si>
    <t>de Estados e Distrito Federal</t>
  </si>
  <si>
    <t>de Municípios</t>
  </si>
  <si>
    <t>Intragovernamentais</t>
  </si>
  <si>
    <t>Outras transferências correntes recebidas</t>
  </si>
  <si>
    <t>Outros ingressos operacionais</t>
  </si>
  <si>
    <t>Desembolsos</t>
  </si>
  <si>
    <t>Pessoal e demais despesas</t>
  </si>
  <si>
    <t>Legislativa</t>
  </si>
  <si>
    <t>Judiciária</t>
  </si>
  <si>
    <t>Essencial à Justiça</t>
  </si>
  <si>
    <t>Administração</t>
  </si>
  <si>
    <t>Defesa Nacional</t>
  </si>
  <si>
    <t>Segurança Pública</t>
  </si>
  <si>
    <t>Relações Exteriores</t>
  </si>
  <si>
    <t>Assistência Social</t>
  </si>
  <si>
    <t>Previdência Social</t>
  </si>
  <si>
    <t>Saúde</t>
  </si>
  <si>
    <t>Trabalho</t>
  </si>
  <si>
    <t>Educação</t>
  </si>
  <si>
    <t>Cultura</t>
  </si>
  <si>
    <t>Direitos da Cidadania</t>
  </si>
  <si>
    <t>Urbanismo</t>
  </si>
  <si>
    <t>Habitação</t>
  </si>
  <si>
    <t>Saneamento</t>
  </si>
  <si>
    <t>Gestão Ambiental</t>
  </si>
  <si>
    <t>Ciência e Tecnologia</t>
  </si>
  <si>
    <t>Agricultura</t>
  </si>
  <si>
    <t>Organização Agrária</t>
  </si>
  <si>
    <t>Indústria</t>
  </si>
  <si>
    <t>Comércio e Serviços</t>
  </si>
  <si>
    <t>Comunicações</t>
  </si>
  <si>
    <t>Energia</t>
  </si>
  <si>
    <t>Transporte</t>
  </si>
  <si>
    <t>Desporto e Lazer</t>
  </si>
  <si>
    <t>Encargos Especiais</t>
  </si>
  <si>
    <t>Juros e encargos da dívida</t>
  </si>
  <si>
    <t>Juros e Correção Monetária da Dívida Interna</t>
  </si>
  <si>
    <t>Juros e Correção Monetária da Dívida Externa</t>
  </si>
  <si>
    <t>Outros Encargos da Dívida</t>
  </si>
  <si>
    <t>Transferências concedidas</t>
  </si>
  <si>
    <t>a União</t>
  </si>
  <si>
    <t>a Estados e Distrito Federal</t>
  </si>
  <si>
    <t>a Municípios</t>
  </si>
  <si>
    <t>Outras transferências concedidas</t>
  </si>
  <si>
    <t>Outros desembolsos operacionais</t>
  </si>
  <si>
    <t>FLUXOS DE CAIXA DAS ATIVIDADES DE INVESTIMENTO (II)</t>
  </si>
  <si>
    <t>Alienação de bens</t>
  </si>
  <si>
    <t>Amortização de empréstimos e financiamentos concedidos</t>
  </si>
  <si>
    <t>Outros ingressos de investimentos</t>
  </si>
  <si>
    <t>Aquisição de ativo não circulante</t>
  </si>
  <si>
    <t>Concessão de empréstimos e financiamentos</t>
  </si>
  <si>
    <t>Outros desembolsos de investimentos</t>
  </si>
  <si>
    <t>FLUXOS DE CAIXA DAS ATIVIDADES DE FINANCIAMENTO (III)</t>
  </si>
  <si>
    <t>Operações de crédito</t>
  </si>
  <si>
    <t>Integralização do capital social de empresas dependentes</t>
  </si>
  <si>
    <t>Transferências de capital recebidas</t>
  </si>
  <si>
    <t>Outros ingressos de financiamentos</t>
  </si>
  <si>
    <t>Amortização / Refinanciamento da dívida</t>
  </si>
  <si>
    <t>Outros desembolsos de financiamentos</t>
  </si>
  <si>
    <t>GERAÇÃO LÍQUIDA DE CAIXA E EQUIVALENTE DE CAIXA (I+II+III)</t>
  </si>
  <si>
    <t>Caixa e equivalente de caixa inicial</t>
  </si>
  <si>
    <t>Caixa e equivalente de caixa final</t>
  </si>
  <si>
    <t>DEMONSTRAÇÃO DO FLUXO DE CAIXA</t>
  </si>
  <si>
    <t>BALANÇO ORÇAMENTÁRIO</t>
  </si>
  <si>
    <t>RECEITAS ORÇAMENTÁRIAS</t>
  </si>
  <si>
    <r>
      <t xml:space="preserve">Previsão Inicial </t>
    </r>
    <r>
      <rPr>
        <sz val="10"/>
        <color theme="1"/>
        <rFont val="Cambria"/>
        <family val="1"/>
      </rPr>
      <t>(a)</t>
    </r>
  </si>
  <si>
    <r>
      <t xml:space="preserve">Previsão Atualizada </t>
    </r>
    <r>
      <rPr>
        <sz val="10"/>
        <color theme="1"/>
        <rFont val="Cambria"/>
        <family val="1"/>
      </rPr>
      <t>(b)</t>
    </r>
  </si>
  <si>
    <r>
      <t xml:space="preserve">Receitas Realizadas </t>
    </r>
    <r>
      <rPr>
        <sz val="10"/>
        <color theme="1"/>
        <rFont val="Cambria"/>
        <family val="1"/>
      </rPr>
      <t>( c)</t>
    </r>
  </si>
  <si>
    <t>Receitas Correntes (I)</t>
  </si>
  <si>
    <t>Transferências Correntes</t>
  </si>
  <si>
    <t>Outras Receitas Correntes</t>
  </si>
  <si>
    <t>Receitas de Capital (II)</t>
  </si>
  <si>
    <t>Operações de Crédito</t>
  </si>
  <si>
    <t>Alienação de Bens</t>
  </si>
  <si>
    <t>Amortizações de Empréstimos</t>
  </si>
  <si>
    <t>Transferências de Capital</t>
  </si>
  <si>
    <t>Outras Receitas de Capital</t>
  </si>
  <si>
    <t>Recursos Arrecadados em Exercícios Anteriores (III)</t>
  </si>
  <si>
    <t>Operações de Crédito/ Refinanciamento (V)</t>
  </si>
  <si>
    <t>Operações de Crédito Internas</t>
  </si>
  <si>
    <t>Mobiliária</t>
  </si>
  <si>
    <t>Contratual</t>
  </si>
  <si>
    <t>Operações de Crédito Externas</t>
  </si>
  <si>
    <t>Déficit (VII)</t>
  </si>
  <si>
    <t>TOTAL (VIII) = (VI + VII)</t>
  </si>
  <si>
    <r>
      <t xml:space="preserve">Saldos de Exercícios Anteriores </t>
    </r>
    <r>
      <rPr>
        <b/>
        <sz val="10"/>
        <color theme="1"/>
        <rFont val="Cambria"/>
        <family val="1"/>
      </rPr>
      <t>(Utilizados Para Créditos Adicionais)</t>
    </r>
  </si>
  <si>
    <t>Superávit Financeiro</t>
  </si>
  <si>
    <t>Reabertura de Créditos Adicionais</t>
  </si>
  <si>
    <t>DESPESAS ORÇAMENTÁRIAS</t>
  </si>
  <si>
    <t>Despesas Correntes (IX)</t>
  </si>
  <si>
    <t>Pessoal e Encargos Sociais</t>
  </si>
  <si>
    <t>Juros e Encargos da Dívida</t>
  </si>
  <si>
    <t>Outras Despesas Correntes</t>
  </si>
  <si>
    <t>Despesas de Capital (X)</t>
  </si>
  <si>
    <t>Inversões Financeiras</t>
  </si>
  <si>
    <t>Amortização da Dívida</t>
  </si>
  <si>
    <t>Reserva de Contingência (XI)</t>
  </si>
  <si>
    <t>Reserva do RPPS (XII)</t>
  </si>
  <si>
    <t>Amortização da Dívida / Refinanciamento (XIV)</t>
  </si>
  <si>
    <t>Amortização da Dívida Interna</t>
  </si>
  <si>
    <t>Dívida Mobiliária</t>
  </si>
  <si>
    <t>Outras Dívidas</t>
  </si>
  <si>
    <t>Amortização da Dívida Externa</t>
  </si>
  <si>
    <t>Superávit (XVI)</t>
  </si>
  <si>
    <t>TOTAL (XVII) = (XV + XVI)</t>
  </si>
  <si>
    <t>Quadro da Execução dos Restos a Pagar Não Processados</t>
  </si>
  <si>
    <t>RESTOS A PAGAR NÃO PROCESSADOS</t>
  </si>
  <si>
    <t>Inscritos</t>
  </si>
  <si>
    <t>Liquidados (c)</t>
  </si>
  <si>
    <t>Pagos (d)</t>
  </si>
  <si>
    <t>Cancelados (e)</t>
  </si>
  <si>
    <t>Em Exercícios Anteriores (a)</t>
  </si>
  <si>
    <t>Em 31 de Dezembro do Exercício Anterior (b)</t>
  </si>
  <si>
    <t>Despesas Correntes</t>
  </si>
  <si>
    <t>Pessoal E Encargos Sociais</t>
  </si>
  <si>
    <t>Juros E Encargos Da Dívida</t>
  </si>
  <si>
    <t>Despesas De Capital</t>
  </si>
  <si>
    <t>Amortização Da Dívida</t>
  </si>
  <si>
    <t>Quadro da Execução dos Restos a Pagar Processados e Restos a Pagar Não Processados Liquidados</t>
  </si>
  <si>
    <t>RESTOS A PAGAR PROCESSADOS E RESTOS A PAGAR NÃO PROCESSADOS LIQUIDADOS</t>
  </si>
  <si>
    <t>INSCRITOS</t>
  </si>
  <si>
    <t>SUBTOTAL DAS RECEITAS (IV) = (I + II + III)</t>
  </si>
  <si>
    <t>SUBTOTAL COM REFINANCIAMENTO (VI) = (IV + V)</t>
  </si>
  <si>
    <t>SALDO (d) = (c-b)</t>
  </si>
  <si>
    <t>Dotação Inicial (e)</t>
  </si>
  <si>
    <t>Dotação Atualizada (f)</t>
  </si>
  <si>
    <t>Despesas Empenhadas (g)</t>
  </si>
  <si>
    <t>Despesas Liquidadas (h)</t>
  </si>
  <si>
    <t>Despesas Pagas (i)</t>
  </si>
  <si>
    <t>Saldo da Dotação (j) = (f-g)</t>
  </si>
  <si>
    <t>SUBTOTAL DAS DESPESAS (XIII) = (IX + X + XI + XII)</t>
  </si>
  <si>
    <t>SUBTOTAL COM
REFINANCIAMENTO (XV)= (XIII+ XIV)</t>
  </si>
  <si>
    <t>Saldo f= (a+b-d-e)</t>
  </si>
  <si>
    <t>EM EXERCÍCIOS ANTERIORES (a)</t>
  </si>
  <si>
    <t>EM 31 DE DEZEMBRO DO EXERCÍCIO ANTERIOR (b)</t>
  </si>
  <si>
    <t>PAGOS (c)</t>
  </si>
  <si>
    <t>CANCELADOS (d)</t>
  </si>
  <si>
    <t>SALDO f= (a+b-c-d)</t>
  </si>
  <si>
    <t>Teste</t>
  </si>
  <si>
    <t>Valor 1</t>
  </si>
  <si>
    <t>Valor 2</t>
  </si>
  <si>
    <t>Diferença</t>
  </si>
  <si>
    <t>Caixa inicial da DFC = Caixa final do ano anterior da DFC</t>
  </si>
  <si>
    <t>Caixa inicial da DFC = Caixa inicial do BF</t>
  </si>
  <si>
    <t>Caixa final da DFC = Caixa final do BF</t>
  </si>
  <si>
    <t>Caixa final da DFC (informado) = Caixa final da DFC (calculado)</t>
  </si>
  <si>
    <t>Caixa final da DFC = Caixa + Investimentos do BP</t>
  </si>
  <si>
    <t>Caixa inicial da DFC = Caixa + Investimentos do BP (ano anterior)</t>
  </si>
  <si>
    <t>Ativo Financeiro - Passivo Financeiro do BP = Superávit financeiro do BP</t>
  </si>
  <si>
    <t>Ativo do BP = Passivo e PL do BP</t>
  </si>
  <si>
    <t>Ativo do BP (ano anterior) = Passivo e PL do BP (ano anterior)</t>
  </si>
  <si>
    <t>Ativo do BP = Ativo Financeiro + Ativo Permanente do BP</t>
  </si>
  <si>
    <t>Passivo do BP = Passivo Financeiro + Passivo Permanente do BP</t>
  </si>
  <si>
    <t>Receita Orçamentária do BF = Receita Orçamentária do BO</t>
  </si>
  <si>
    <t>Despesa Empenhada do BF = Despesa Empenhada do BO</t>
  </si>
  <si>
    <t>Pagamento de Restos a Pagar Não processados do BF = Restos a Pagar Não Processados pagos do BO</t>
  </si>
  <si>
    <t>Pagamento de Restos a Pagar processados do BF = Restos a Pagar Processados pagos do BO</t>
  </si>
  <si>
    <t>Caixa final da BF (informado) = Caixa final do BF (calculado)</t>
  </si>
  <si>
    <t>Total de ingressos do BF = Total de dispêndios do BF</t>
  </si>
  <si>
    <t>DEMONSTRAÇÕES CONTÁBEIS CONSOLIDADAS</t>
  </si>
  <si>
    <t>0001 LIVRE</t>
  </si>
  <si>
    <t>0020 MDE</t>
  </si>
  <si>
    <t>0031 FUNDEB</t>
  </si>
  <si>
    <t>0040 ASPS</t>
  </si>
  <si>
    <t>VPA - VPD da DVP  + Resultados Acumulados do ano anterior do BP = Resultados Acumulados do 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</si>
</sst>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#,##0.00_ ;[Red]\-#,##0.0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sz val="10"/>
      <color theme="1"/>
      <name val="Cambria"/>
      <family val="1"/>
    </font>
    <font>
      <sz val="11"/>
      <color theme="1"/>
      <name val="Cambria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b/>
      <u/>
      <sz val="10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Fill="1" applyAlignment="1"/>
    <xf numFmtId="0" fontId="3" fillId="0" borderId="0" xfId="0" applyFont="1" applyFill="1" applyAlignment="1">
      <alignment horizontal="right"/>
    </xf>
    <xf numFmtId="0" fontId="3" fillId="0" borderId="0" xfId="0" applyFont="1" applyFill="1" applyAlignment="1"/>
    <xf numFmtId="0" fontId="2" fillId="0" borderId="0" xfId="0" applyFont="1" applyFill="1" applyAlignment="1">
      <alignment horizontal="right"/>
    </xf>
    <xf numFmtId="0" fontId="2" fillId="0" borderId="0" xfId="0" applyFont="1" applyFill="1" applyAlignment="1"/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164" fontId="4" fillId="0" borderId="1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 indent="1"/>
    </xf>
    <xf numFmtId="0" fontId="7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 indent="2"/>
    </xf>
    <xf numFmtId="0" fontId="3" fillId="0" borderId="1" xfId="0" applyFont="1" applyFill="1" applyBorder="1" applyAlignment="1">
      <alignment horizontal="left" vertical="center"/>
    </xf>
    <xf numFmtId="164" fontId="4" fillId="0" borderId="1" xfId="1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43" fontId="0" fillId="0" borderId="0" xfId="1" applyFont="1" applyFill="1" applyAlignment="1"/>
    <xf numFmtId="43" fontId="2" fillId="0" borderId="1" xfId="1" applyFont="1" applyFill="1" applyBorder="1" applyAlignment="1">
      <alignment horizontal="center" vertical="center"/>
    </xf>
    <xf numFmtId="43" fontId="2" fillId="0" borderId="1" xfId="1" applyFont="1" applyFill="1" applyBorder="1" applyAlignment="1">
      <alignment horizontal="left" vertical="center"/>
    </xf>
    <xf numFmtId="43" fontId="0" fillId="0" borderId="1" xfId="1" applyFont="1" applyFill="1" applyBorder="1" applyAlignment="1"/>
    <xf numFmtId="164" fontId="2" fillId="0" borderId="1" xfId="0" applyNumberFormat="1" applyFont="1" applyFill="1" applyBorder="1" applyAlignment="1">
      <alignment horizontal="right" vertical="center"/>
    </xf>
    <xf numFmtId="164" fontId="4" fillId="0" borderId="1" xfId="1" applyNumberFormat="1" applyFont="1" applyFill="1" applyBorder="1" applyAlignment="1">
      <alignment horizontal="right" vertical="center"/>
    </xf>
    <xf numFmtId="164" fontId="4" fillId="0" borderId="1" xfId="0" applyNumberFormat="1" applyFont="1" applyFill="1" applyBorder="1" applyAlignment="1">
      <alignment horizontal="right" vertical="center"/>
    </xf>
    <xf numFmtId="0" fontId="0" fillId="0" borderId="0" xfId="0" applyFill="1"/>
    <xf numFmtId="164" fontId="0" fillId="0" borderId="1" xfId="1" applyNumberFormat="1" applyFont="1" applyFill="1" applyBorder="1" applyAlignment="1"/>
    <xf numFmtId="164" fontId="0" fillId="0" borderId="1" xfId="0" applyNumberFormat="1" applyFill="1" applyBorder="1" applyAlignment="1"/>
    <xf numFmtId="43" fontId="3" fillId="0" borderId="1" xfId="1" applyFont="1" applyFill="1" applyBorder="1" applyAlignment="1">
      <alignment horizontal="center" vertical="center"/>
    </xf>
    <xf numFmtId="43" fontId="3" fillId="0" borderId="1" xfId="1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indent="1"/>
    </xf>
    <xf numFmtId="43" fontId="3" fillId="0" borderId="1" xfId="1" applyFont="1" applyFill="1" applyBorder="1" applyAlignment="1">
      <alignment horizontal="left" vertical="center"/>
    </xf>
    <xf numFmtId="0" fontId="3" fillId="0" borderId="3" xfId="0" applyFont="1" applyFill="1" applyBorder="1" applyAlignment="1">
      <alignment vertical="center"/>
    </xf>
    <xf numFmtId="43" fontId="3" fillId="0" borderId="3" xfId="1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 indent="2"/>
    </xf>
    <xf numFmtId="0" fontId="3" fillId="0" borderId="3" xfId="0" applyFont="1" applyFill="1" applyBorder="1" applyAlignment="1">
      <alignment horizontal="left" vertical="center"/>
    </xf>
    <xf numFmtId="43" fontId="3" fillId="0" borderId="3" xfId="1" applyFont="1" applyFill="1" applyBorder="1" applyAlignment="1">
      <alignment horizontal="center" vertical="center"/>
    </xf>
    <xf numFmtId="43" fontId="3" fillId="0" borderId="3" xfId="1" applyFont="1" applyFill="1" applyBorder="1" applyAlignment="1">
      <alignment horizontal="left" vertical="center"/>
    </xf>
    <xf numFmtId="43" fontId="2" fillId="0" borderId="1" xfId="1" applyFont="1" applyFill="1" applyBorder="1" applyAlignment="1">
      <alignment vertical="center"/>
    </xf>
    <xf numFmtId="0" fontId="2" fillId="0" borderId="5" xfId="0" applyFont="1" applyFill="1" applyBorder="1" applyAlignment="1">
      <alignment horizontal="center" vertical="center"/>
    </xf>
    <xf numFmtId="43" fontId="2" fillId="0" borderId="5" xfId="1" applyFont="1" applyFill="1" applyBorder="1" applyAlignment="1">
      <alignment horizontal="center" vertical="center"/>
    </xf>
    <xf numFmtId="43" fontId="2" fillId="0" borderId="5" xfId="1" applyFont="1" applyFill="1" applyBorder="1" applyAlignment="1">
      <alignment horizontal="left" vertical="center"/>
    </xf>
    <xf numFmtId="0" fontId="2" fillId="0" borderId="5" xfId="0" applyFont="1" applyFill="1" applyBorder="1" applyAlignment="1">
      <alignment vertical="center"/>
    </xf>
    <xf numFmtId="43" fontId="0" fillId="0" borderId="5" xfId="1" applyFont="1" applyFill="1" applyBorder="1" applyAlignment="1"/>
    <xf numFmtId="0" fontId="7" fillId="0" borderId="5" xfId="0" applyFont="1" applyFill="1" applyBorder="1" applyAlignment="1">
      <alignment horizontal="left" vertical="center" indent="1"/>
    </xf>
    <xf numFmtId="0" fontId="2" fillId="0" borderId="5" xfId="0" applyFont="1" applyFill="1" applyBorder="1" applyAlignment="1">
      <alignment horizontal="left" vertical="center" indent="2"/>
    </xf>
    <xf numFmtId="0" fontId="3" fillId="0" borderId="5" xfId="0" applyFont="1" applyFill="1" applyBorder="1" applyAlignment="1">
      <alignment horizontal="left" vertical="center" indent="3"/>
    </xf>
    <xf numFmtId="0" fontId="3" fillId="0" borderId="5" xfId="0" applyFont="1" applyFill="1" applyBorder="1" applyAlignment="1">
      <alignment horizontal="left" vertical="center" indent="4"/>
    </xf>
    <xf numFmtId="0" fontId="2" fillId="0" borderId="5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 indent="1"/>
    </xf>
    <xf numFmtId="0" fontId="5" fillId="0" borderId="0" xfId="0" applyFont="1"/>
    <xf numFmtId="164" fontId="0" fillId="0" borderId="0" xfId="0" applyNumberFormat="1"/>
    <xf numFmtId="164" fontId="0" fillId="0" borderId="0" xfId="1" applyNumberFormat="1" applyFont="1"/>
    <xf numFmtId="164" fontId="5" fillId="0" borderId="1" xfId="1" applyNumberFormat="1" applyFont="1" applyFill="1" applyBorder="1" applyAlignment="1">
      <alignment horizontal="right"/>
    </xf>
    <xf numFmtId="0" fontId="5" fillId="0" borderId="0" xfId="0" applyFont="1" applyFill="1"/>
    <xf numFmtId="0" fontId="3" fillId="0" borderId="0" xfId="0" applyFont="1" applyFill="1" applyAlignment="1" applyProtection="1">
      <protection locked="0"/>
    </xf>
    <xf numFmtId="0" fontId="2" fillId="0" borderId="0" xfId="0" applyFont="1" applyFill="1" applyAlignment="1" applyProtection="1">
      <protection locked="0"/>
    </xf>
    <xf numFmtId="164" fontId="4" fillId="0" borderId="1" xfId="0" applyNumberFormat="1" applyFont="1" applyFill="1" applyBorder="1" applyAlignment="1" applyProtection="1">
      <alignment vertical="center"/>
      <protection locked="0"/>
    </xf>
    <xf numFmtId="164" fontId="4" fillId="0" borderId="1" xfId="1" applyNumberFormat="1" applyFont="1" applyFill="1" applyBorder="1" applyAlignment="1" applyProtection="1">
      <alignment vertical="center"/>
      <protection locked="0"/>
    </xf>
    <xf numFmtId="0" fontId="3" fillId="0" borderId="0" xfId="0" applyFont="1" applyFill="1" applyAlignment="1" applyProtection="1">
      <alignment horizontal="center"/>
      <protection locked="0"/>
    </xf>
    <xf numFmtId="0" fontId="2" fillId="0" borderId="0" xfId="0" applyFont="1" applyFill="1" applyAlignment="1" applyProtection="1">
      <alignment horizontal="center"/>
      <protection locked="0"/>
    </xf>
    <xf numFmtId="0" fontId="2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right"/>
    </xf>
    <xf numFmtId="43" fontId="0" fillId="0" borderId="1" xfId="1" applyFont="1" applyFill="1" applyBorder="1" applyAlignment="1" applyProtection="1">
      <protection locked="0"/>
    </xf>
    <xf numFmtId="164" fontId="3" fillId="0" borderId="1" xfId="0" applyNumberFormat="1" applyFont="1" applyFill="1" applyBorder="1" applyAlignment="1" applyProtection="1">
      <alignment horizontal="right" vertical="center"/>
      <protection locked="0"/>
    </xf>
    <xf numFmtId="164" fontId="3" fillId="0" borderId="1" xfId="1" applyNumberFormat="1" applyFont="1" applyFill="1" applyBorder="1" applyAlignment="1" applyProtection="1">
      <alignment horizontal="right" vertical="center"/>
      <protection locked="0"/>
    </xf>
    <xf numFmtId="164" fontId="2" fillId="0" borderId="1" xfId="0" applyNumberFormat="1" applyFont="1" applyFill="1" applyBorder="1" applyAlignment="1" applyProtection="1">
      <alignment horizontal="right" vertical="center"/>
      <protection locked="0"/>
    </xf>
    <xf numFmtId="164" fontId="2" fillId="0" borderId="1" xfId="1" applyNumberFormat="1" applyFont="1" applyFill="1" applyBorder="1" applyAlignment="1" applyProtection="1">
      <alignment horizontal="right" vertical="center"/>
      <protection locked="0"/>
    </xf>
    <xf numFmtId="164" fontId="0" fillId="0" borderId="1" xfId="1" applyNumberFormat="1" applyFont="1" applyFill="1" applyBorder="1" applyAlignment="1" applyProtection="1">
      <protection locked="0"/>
    </xf>
    <xf numFmtId="164" fontId="3" fillId="0" borderId="1" xfId="1" applyNumberFormat="1" applyFont="1" applyFill="1" applyBorder="1" applyAlignment="1" applyProtection="1">
      <alignment vertical="center"/>
      <protection locked="0"/>
    </xf>
    <xf numFmtId="0" fontId="3" fillId="0" borderId="1" xfId="0" applyFont="1" applyFill="1" applyBorder="1" applyAlignment="1" applyProtection="1">
      <alignment vertical="center"/>
      <protection locked="0"/>
    </xf>
    <xf numFmtId="0" fontId="3" fillId="0" borderId="1" xfId="0" applyFont="1" applyFill="1" applyBorder="1" applyAlignment="1" applyProtection="1">
      <alignment horizontal="left" vertical="center"/>
      <protection locked="0"/>
    </xf>
    <xf numFmtId="164" fontId="1" fillId="0" borderId="1" xfId="1" applyNumberFormat="1" applyFont="1" applyFill="1" applyBorder="1" applyAlignment="1" applyProtection="1">
      <alignment horizontal="right"/>
      <protection locked="0"/>
    </xf>
    <xf numFmtId="43" fontId="3" fillId="0" borderId="1" xfId="1" applyFont="1" applyFill="1" applyBorder="1" applyAlignment="1" applyProtection="1">
      <alignment horizontal="center" vertical="center"/>
      <protection locked="0"/>
    </xf>
    <xf numFmtId="43" fontId="3" fillId="0" borderId="1" xfId="1" applyFont="1" applyFill="1" applyBorder="1" applyAlignment="1" applyProtection="1">
      <alignment vertical="center"/>
      <protection locked="0"/>
    </xf>
    <xf numFmtId="43" fontId="3" fillId="0" borderId="1" xfId="1" applyFont="1" applyFill="1" applyBorder="1" applyAlignment="1" applyProtection="1">
      <alignment horizontal="left" vertical="center"/>
      <protection locked="0"/>
    </xf>
    <xf numFmtId="43" fontId="3" fillId="0" borderId="2" xfId="1" applyFont="1" applyFill="1" applyBorder="1" applyAlignment="1" applyProtection="1">
      <alignment horizontal="center" vertical="center"/>
      <protection locked="0"/>
    </xf>
    <xf numFmtId="43" fontId="3" fillId="0" borderId="2" xfId="1" applyFont="1" applyFill="1" applyBorder="1" applyAlignment="1" applyProtection="1">
      <alignment horizontal="left" vertical="center"/>
      <protection locked="0"/>
    </xf>
    <xf numFmtId="43" fontId="0" fillId="0" borderId="5" xfId="1" applyFont="1" applyFill="1" applyBorder="1" applyAlignment="1" applyProtection="1">
      <protection locked="0"/>
    </xf>
    <xf numFmtId="43" fontId="4" fillId="0" borderId="5" xfId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8"/>
  <sheetViews>
    <sheetView tabSelected="1" topLeftCell="A61" zoomScale="70" zoomScaleNormal="70" zoomScaleSheetLayoutView="50" workbookViewId="0">
      <selection activeCell="A85" sqref="A85"/>
    </sheetView>
  </sheetViews>
  <sheetFormatPr defaultRowHeight="15" x14ac:dyDescent="0.25"/>
  <cols>
    <col min="1" max="1" width="105.5703125" style="1" bestFit="1" customWidth="1"/>
    <col min="2" max="2" width="40.85546875" style="1" bestFit="1" customWidth="1"/>
    <col min="3" max="3" width="62.7109375" style="1" bestFit="1" customWidth="1"/>
    <col min="4" max="4" width="30.85546875" style="1" bestFit="1" customWidth="1"/>
    <col min="5" max="5" width="29.140625" style="1" bestFit="1" customWidth="1"/>
    <col min="6" max="6" width="24" style="1" bestFit="1" customWidth="1"/>
    <col min="7" max="7" width="33.28515625" style="1" bestFit="1" customWidth="1"/>
    <col min="8" max="16384" width="9.140625" style="1"/>
  </cols>
  <sheetData>
    <row r="1" spans="1:7" x14ac:dyDescent="0.25">
      <c r="A1" s="59" t="s">
        <v>94</v>
      </c>
      <c r="B1" s="59"/>
      <c r="C1" s="59"/>
      <c r="D1" s="59"/>
      <c r="E1" s="59"/>
      <c r="F1" s="59"/>
      <c r="G1" s="59"/>
    </row>
    <row r="2" spans="1:7" x14ac:dyDescent="0.25">
      <c r="A2" s="59" t="s">
        <v>93</v>
      </c>
      <c r="B2" s="59"/>
      <c r="C2" s="59"/>
      <c r="D2" s="59"/>
      <c r="E2" s="59"/>
      <c r="F2" s="59"/>
      <c r="G2" s="59"/>
    </row>
    <row r="3" spans="1:7" x14ac:dyDescent="0.25">
      <c r="A3" s="60" t="s">
        <v>392</v>
      </c>
      <c r="B3" s="60"/>
      <c r="C3" s="60"/>
      <c r="D3" s="60"/>
      <c r="E3" s="60"/>
      <c r="F3" s="60"/>
      <c r="G3" s="60"/>
    </row>
    <row r="4" spans="1:7" x14ac:dyDescent="0.25">
      <c r="F4" s="2" t="s">
        <v>97</v>
      </c>
      <c r="G4" s="55" t="s">
        <v>98</v>
      </c>
    </row>
    <row r="5" spans="1:7" x14ac:dyDescent="0.25">
      <c r="A5" s="61" t="s">
        <v>296</v>
      </c>
      <c r="B5" s="61"/>
      <c r="C5" s="61"/>
      <c r="D5" s="61"/>
      <c r="E5" s="61"/>
      <c r="F5" s="61"/>
      <c r="G5" s="61"/>
    </row>
    <row r="6" spans="1:7" x14ac:dyDescent="0.25">
      <c r="A6" s="3"/>
      <c r="F6" s="4" t="s">
        <v>96</v>
      </c>
      <c r="G6" s="56">
        <v>2015</v>
      </c>
    </row>
    <row r="8" spans="1:7" ht="15.75" thickBot="1" x14ac:dyDescent="0.3">
      <c r="A8" s="62" t="s">
        <v>142</v>
      </c>
      <c r="B8" s="62"/>
      <c r="C8" s="62"/>
      <c r="D8" s="62"/>
      <c r="E8" s="62"/>
    </row>
    <row r="9" spans="1:7" ht="15.75" thickBot="1" x14ac:dyDescent="0.3">
      <c r="A9" s="6" t="s">
        <v>297</v>
      </c>
      <c r="B9" s="7" t="s">
        <v>298</v>
      </c>
      <c r="C9" s="7" t="s">
        <v>299</v>
      </c>
      <c r="D9" s="7" t="s">
        <v>300</v>
      </c>
      <c r="E9" s="7" t="s">
        <v>356</v>
      </c>
    </row>
    <row r="10" spans="1:7" ht="15.75" thickBot="1" x14ac:dyDescent="0.3">
      <c r="A10" s="8" t="s">
        <v>301</v>
      </c>
      <c r="B10" s="9">
        <f>SUM(B11:B18)</f>
        <v>0</v>
      </c>
      <c r="C10" s="9">
        <f t="shared" ref="C10:D10" si="0">SUM(C11:C18)</f>
        <v>0</v>
      </c>
      <c r="D10" s="9">
        <f t="shared" si="0"/>
        <v>0</v>
      </c>
      <c r="E10" s="9">
        <f>D10-C10</f>
        <v>0</v>
      </c>
    </row>
    <row r="11" spans="1:7" ht="15.75" thickBot="1" x14ac:dyDescent="0.3">
      <c r="A11" s="10" t="s">
        <v>222</v>
      </c>
      <c r="B11" s="57"/>
      <c r="C11" s="57"/>
      <c r="D11" s="57"/>
      <c r="E11" s="9">
        <f t="shared" ref="E11:E39" si="1">D11-C11</f>
        <v>0</v>
      </c>
    </row>
    <row r="12" spans="1:7" ht="15.75" thickBot="1" x14ac:dyDescent="0.3">
      <c r="A12" s="10" t="s">
        <v>223</v>
      </c>
      <c r="B12" s="57"/>
      <c r="C12" s="57"/>
      <c r="D12" s="57"/>
      <c r="E12" s="9">
        <f t="shared" si="1"/>
        <v>0</v>
      </c>
    </row>
    <row r="13" spans="1:7" ht="15.75" thickBot="1" x14ac:dyDescent="0.3">
      <c r="A13" s="10" t="s">
        <v>224</v>
      </c>
      <c r="B13" s="57"/>
      <c r="C13" s="57"/>
      <c r="D13" s="57"/>
      <c r="E13" s="9">
        <f t="shared" si="1"/>
        <v>0</v>
      </c>
    </row>
    <row r="14" spans="1:7" ht="15.75" thickBot="1" x14ac:dyDescent="0.3">
      <c r="A14" s="10" t="s">
        <v>225</v>
      </c>
      <c r="B14" s="57"/>
      <c r="C14" s="57"/>
      <c r="D14" s="57"/>
      <c r="E14" s="9">
        <f t="shared" si="1"/>
        <v>0</v>
      </c>
    </row>
    <row r="15" spans="1:7" ht="15.75" thickBot="1" x14ac:dyDescent="0.3">
      <c r="A15" s="10" t="s">
        <v>226</v>
      </c>
      <c r="B15" s="57"/>
      <c r="C15" s="57"/>
      <c r="D15" s="57"/>
      <c r="E15" s="9">
        <f t="shared" si="1"/>
        <v>0</v>
      </c>
    </row>
    <row r="16" spans="1:7" ht="15.75" thickBot="1" x14ac:dyDescent="0.3">
      <c r="A16" s="10" t="s">
        <v>227</v>
      </c>
      <c r="B16" s="57"/>
      <c r="C16" s="57"/>
      <c r="D16" s="57"/>
      <c r="E16" s="9">
        <f t="shared" si="1"/>
        <v>0</v>
      </c>
    </row>
    <row r="17" spans="1:5" ht="15.75" thickBot="1" x14ac:dyDescent="0.3">
      <c r="A17" s="10" t="s">
        <v>302</v>
      </c>
      <c r="B17" s="57"/>
      <c r="C17" s="57"/>
      <c r="D17" s="57"/>
      <c r="E17" s="9">
        <f t="shared" si="1"/>
        <v>0</v>
      </c>
    </row>
    <row r="18" spans="1:5" ht="15.75" thickBot="1" x14ac:dyDescent="0.3">
      <c r="A18" s="10" t="s">
        <v>303</v>
      </c>
      <c r="B18" s="57"/>
      <c r="C18" s="57"/>
      <c r="D18" s="57"/>
      <c r="E18" s="9">
        <f t="shared" si="1"/>
        <v>0</v>
      </c>
    </row>
    <row r="19" spans="1:5" ht="15.75" thickBot="1" x14ac:dyDescent="0.3">
      <c r="A19" s="8" t="s">
        <v>304</v>
      </c>
      <c r="B19" s="9">
        <f>SUM(B20:B24)</f>
        <v>0</v>
      </c>
      <c r="C19" s="9">
        <f>SUM(C20:C24)</f>
        <v>0</v>
      </c>
      <c r="D19" s="9">
        <f>SUM(D20:D24)</f>
        <v>0</v>
      </c>
      <c r="E19" s="9">
        <f t="shared" si="1"/>
        <v>0</v>
      </c>
    </row>
    <row r="20" spans="1:5" ht="15.75" thickBot="1" x14ac:dyDescent="0.3">
      <c r="A20" s="10" t="s">
        <v>305</v>
      </c>
      <c r="B20" s="57"/>
      <c r="C20" s="57"/>
      <c r="D20" s="57"/>
      <c r="E20" s="9">
        <f t="shared" si="1"/>
        <v>0</v>
      </c>
    </row>
    <row r="21" spans="1:5" ht="15.75" thickBot="1" x14ac:dyDescent="0.3">
      <c r="A21" s="10" t="s">
        <v>306</v>
      </c>
      <c r="B21" s="57"/>
      <c r="C21" s="57"/>
      <c r="D21" s="57"/>
      <c r="E21" s="9">
        <f t="shared" si="1"/>
        <v>0</v>
      </c>
    </row>
    <row r="22" spans="1:5" ht="15.75" thickBot="1" x14ac:dyDescent="0.3">
      <c r="A22" s="10" t="s">
        <v>307</v>
      </c>
      <c r="B22" s="57"/>
      <c r="C22" s="57"/>
      <c r="D22" s="57"/>
      <c r="E22" s="9">
        <f t="shared" si="1"/>
        <v>0</v>
      </c>
    </row>
    <row r="23" spans="1:5" ht="15.75" thickBot="1" x14ac:dyDescent="0.3">
      <c r="A23" s="10" t="s">
        <v>308</v>
      </c>
      <c r="B23" s="57"/>
      <c r="C23" s="57"/>
      <c r="D23" s="57"/>
      <c r="E23" s="9">
        <f t="shared" si="1"/>
        <v>0</v>
      </c>
    </row>
    <row r="24" spans="1:5" ht="15.75" thickBot="1" x14ac:dyDescent="0.3">
      <c r="A24" s="10" t="s">
        <v>309</v>
      </c>
      <c r="B24" s="57"/>
      <c r="C24" s="57"/>
      <c r="D24" s="57"/>
      <c r="E24" s="9">
        <f t="shared" si="1"/>
        <v>0</v>
      </c>
    </row>
    <row r="25" spans="1:5" ht="15.75" thickBot="1" x14ac:dyDescent="0.3">
      <c r="A25" s="11" t="s">
        <v>310</v>
      </c>
      <c r="B25" s="9"/>
      <c r="C25" s="9"/>
      <c r="D25" s="9"/>
      <c r="E25" s="9">
        <f t="shared" si="1"/>
        <v>0</v>
      </c>
    </row>
    <row r="26" spans="1:5" ht="15.75" thickBot="1" x14ac:dyDescent="0.3">
      <c r="A26" s="12" t="s">
        <v>354</v>
      </c>
      <c r="B26" s="9">
        <f>B10+B19+B25</f>
        <v>0</v>
      </c>
      <c r="C26" s="9">
        <f>C10+C19+C25</f>
        <v>0</v>
      </c>
      <c r="D26" s="9">
        <f>D10+D19+D25</f>
        <v>0</v>
      </c>
      <c r="E26" s="9">
        <f t="shared" si="1"/>
        <v>0</v>
      </c>
    </row>
    <row r="27" spans="1:5" ht="15.75" thickBot="1" x14ac:dyDescent="0.3">
      <c r="A27" s="11" t="s">
        <v>311</v>
      </c>
      <c r="B27" s="9">
        <f>B28+B31</f>
        <v>0</v>
      </c>
      <c r="C27" s="9">
        <f t="shared" ref="C27:D27" si="2">C28+C31</f>
        <v>0</v>
      </c>
      <c r="D27" s="9">
        <f t="shared" si="2"/>
        <v>0</v>
      </c>
      <c r="E27" s="9">
        <f t="shared" si="1"/>
        <v>0</v>
      </c>
    </row>
    <row r="28" spans="1:5" ht="15.75" thickBot="1" x14ac:dyDescent="0.3">
      <c r="A28" s="10" t="s">
        <v>312</v>
      </c>
      <c r="B28" s="9">
        <f>SUM(B29:B30)</f>
        <v>0</v>
      </c>
      <c r="C28" s="9">
        <f t="shared" ref="C28:D28" si="3">SUM(C29:C30)</f>
        <v>0</v>
      </c>
      <c r="D28" s="9">
        <f t="shared" si="3"/>
        <v>0</v>
      </c>
      <c r="E28" s="9">
        <f t="shared" si="1"/>
        <v>0</v>
      </c>
    </row>
    <row r="29" spans="1:5" ht="15.75" thickBot="1" x14ac:dyDescent="0.3">
      <c r="A29" s="13" t="s">
        <v>313</v>
      </c>
      <c r="B29" s="57"/>
      <c r="C29" s="57"/>
      <c r="D29" s="57"/>
      <c r="E29" s="9">
        <f t="shared" si="1"/>
        <v>0</v>
      </c>
    </row>
    <row r="30" spans="1:5" ht="15.75" thickBot="1" x14ac:dyDescent="0.3">
      <c r="A30" s="13" t="s">
        <v>314</v>
      </c>
      <c r="B30" s="57"/>
      <c r="C30" s="57"/>
      <c r="D30" s="57"/>
      <c r="E30" s="9">
        <f t="shared" si="1"/>
        <v>0</v>
      </c>
    </row>
    <row r="31" spans="1:5" ht="15.75" thickBot="1" x14ac:dyDescent="0.3">
      <c r="A31" s="10" t="s">
        <v>315</v>
      </c>
      <c r="B31" s="9">
        <f>SUM(B32:B33)</f>
        <v>0</v>
      </c>
      <c r="C31" s="9"/>
      <c r="D31" s="9"/>
      <c r="E31" s="9">
        <f t="shared" si="1"/>
        <v>0</v>
      </c>
    </row>
    <row r="32" spans="1:5" ht="15.75" thickBot="1" x14ac:dyDescent="0.3">
      <c r="A32" s="13" t="s">
        <v>313</v>
      </c>
      <c r="B32" s="57"/>
      <c r="C32" s="57"/>
      <c r="D32" s="57"/>
      <c r="E32" s="9">
        <f t="shared" si="1"/>
        <v>0</v>
      </c>
    </row>
    <row r="33" spans="1:7" ht="15.75" thickBot="1" x14ac:dyDescent="0.3">
      <c r="A33" s="13" t="s">
        <v>314</v>
      </c>
      <c r="B33" s="57"/>
      <c r="C33" s="57"/>
      <c r="D33" s="57"/>
      <c r="E33" s="9">
        <f t="shared" si="1"/>
        <v>0</v>
      </c>
    </row>
    <row r="34" spans="1:7" ht="15.75" thickBot="1" x14ac:dyDescent="0.3">
      <c r="A34" s="12" t="s">
        <v>355</v>
      </c>
      <c r="B34" s="9">
        <f>B26+B27</f>
        <v>0</v>
      </c>
      <c r="C34" s="9">
        <f>C26+C27</f>
        <v>0</v>
      </c>
      <c r="D34" s="9">
        <f>D26+D27</f>
        <v>0</v>
      </c>
      <c r="E34" s="9">
        <f t="shared" si="1"/>
        <v>0</v>
      </c>
    </row>
    <row r="35" spans="1:7" ht="15.75" thickBot="1" x14ac:dyDescent="0.3">
      <c r="A35" s="14" t="s">
        <v>316</v>
      </c>
      <c r="B35" s="9">
        <f>IF(B34&lt;B60,B60-B34,0)</f>
        <v>0</v>
      </c>
      <c r="C35" s="9">
        <f t="shared" ref="C35:D35" si="4">IF(C34&lt;C60,C60-C34,0)</f>
        <v>0</v>
      </c>
      <c r="D35" s="9">
        <f t="shared" si="4"/>
        <v>0</v>
      </c>
      <c r="E35" s="9">
        <f t="shared" si="1"/>
        <v>0</v>
      </c>
    </row>
    <row r="36" spans="1:7" ht="15.75" thickBot="1" x14ac:dyDescent="0.3">
      <c r="A36" s="12" t="s">
        <v>317</v>
      </c>
      <c r="B36" s="9">
        <f>B34+B35</f>
        <v>0</v>
      </c>
      <c r="C36" s="9">
        <f>C34+C35</f>
        <v>0</v>
      </c>
      <c r="D36" s="9">
        <f>D34+D35</f>
        <v>0</v>
      </c>
      <c r="E36" s="9">
        <f t="shared" si="1"/>
        <v>0</v>
      </c>
    </row>
    <row r="37" spans="1:7" ht="15.75" thickBot="1" x14ac:dyDescent="0.3">
      <c r="A37" s="8" t="s">
        <v>318</v>
      </c>
      <c r="B37" s="9">
        <f>SUM(B38:B39)</f>
        <v>0</v>
      </c>
      <c r="C37" s="9">
        <f>SUM(C38:C39)</f>
        <v>0</v>
      </c>
      <c r="D37" s="9">
        <f>SUM(D38:D39)</f>
        <v>0</v>
      </c>
      <c r="E37" s="9">
        <f t="shared" si="1"/>
        <v>0</v>
      </c>
    </row>
    <row r="38" spans="1:7" ht="15.75" thickBot="1" x14ac:dyDescent="0.3">
      <c r="A38" s="10" t="s">
        <v>319</v>
      </c>
      <c r="B38" s="57"/>
      <c r="C38" s="57"/>
      <c r="D38" s="57"/>
      <c r="E38" s="9">
        <f t="shared" si="1"/>
        <v>0</v>
      </c>
    </row>
    <row r="39" spans="1:7" ht="15.75" thickBot="1" x14ac:dyDescent="0.3">
      <c r="A39" s="10" t="s">
        <v>320</v>
      </c>
      <c r="B39" s="57"/>
      <c r="C39" s="57"/>
      <c r="D39" s="57"/>
      <c r="E39" s="9">
        <f t="shared" si="1"/>
        <v>0</v>
      </c>
    </row>
    <row r="40" spans="1:7" ht="15.75" thickBot="1" x14ac:dyDescent="0.3"/>
    <row r="41" spans="1:7" ht="15.75" thickBot="1" x14ac:dyDescent="0.3">
      <c r="A41" s="6" t="s">
        <v>321</v>
      </c>
      <c r="B41" s="7" t="s">
        <v>357</v>
      </c>
      <c r="C41" s="7" t="s">
        <v>358</v>
      </c>
      <c r="D41" s="7" t="s">
        <v>359</v>
      </c>
      <c r="E41" s="7" t="s">
        <v>360</v>
      </c>
      <c r="F41" s="7" t="s">
        <v>361</v>
      </c>
      <c r="G41" s="7" t="s">
        <v>362</v>
      </c>
    </row>
    <row r="42" spans="1:7" ht="15.75" thickBot="1" x14ac:dyDescent="0.3">
      <c r="A42" s="11" t="s">
        <v>322</v>
      </c>
      <c r="B42" s="15">
        <f>SUM(B43:B45)</f>
        <v>0</v>
      </c>
      <c r="C42" s="15">
        <f t="shared" ref="C42:F42" si="5">SUM(C43:C45)</f>
        <v>0</v>
      </c>
      <c r="D42" s="15">
        <f t="shared" si="5"/>
        <v>0</v>
      </c>
      <c r="E42" s="15">
        <f t="shared" si="5"/>
        <v>0</v>
      </c>
      <c r="F42" s="15">
        <f t="shared" si="5"/>
        <v>0</v>
      </c>
      <c r="G42" s="15">
        <f>C42-D42</f>
        <v>0</v>
      </c>
    </row>
    <row r="43" spans="1:7" ht="15.75" thickBot="1" x14ac:dyDescent="0.3">
      <c r="A43" s="10" t="s">
        <v>323</v>
      </c>
      <c r="B43" s="58"/>
      <c r="C43" s="58"/>
      <c r="D43" s="58"/>
      <c r="E43" s="58"/>
      <c r="F43" s="58"/>
      <c r="G43" s="15">
        <f t="shared" ref="G43:G60" si="6">C43-D43</f>
        <v>0</v>
      </c>
    </row>
    <row r="44" spans="1:7" ht="15.75" thickBot="1" x14ac:dyDescent="0.3">
      <c r="A44" s="10" t="s">
        <v>324</v>
      </c>
      <c r="B44" s="58"/>
      <c r="C44" s="58"/>
      <c r="D44" s="58"/>
      <c r="E44" s="58"/>
      <c r="F44" s="58"/>
      <c r="G44" s="15">
        <f t="shared" si="6"/>
        <v>0</v>
      </c>
    </row>
    <row r="45" spans="1:7" ht="15.75" thickBot="1" x14ac:dyDescent="0.3">
      <c r="A45" s="10" t="s">
        <v>325</v>
      </c>
      <c r="B45" s="58"/>
      <c r="C45" s="58"/>
      <c r="D45" s="58"/>
      <c r="E45" s="58"/>
      <c r="F45" s="58"/>
      <c r="G45" s="15">
        <f t="shared" si="6"/>
        <v>0</v>
      </c>
    </row>
    <row r="46" spans="1:7" ht="15.75" thickBot="1" x14ac:dyDescent="0.3">
      <c r="A46" s="11" t="s">
        <v>326</v>
      </c>
      <c r="B46" s="15">
        <f>SUM(B47:B49)</f>
        <v>0</v>
      </c>
      <c r="C46" s="15">
        <f t="shared" ref="C46:F46" si="7">SUM(C47:C49)</f>
        <v>0</v>
      </c>
      <c r="D46" s="15">
        <f t="shared" si="7"/>
        <v>0</v>
      </c>
      <c r="E46" s="15">
        <f t="shared" si="7"/>
        <v>0</v>
      </c>
      <c r="F46" s="15">
        <f t="shared" si="7"/>
        <v>0</v>
      </c>
      <c r="G46" s="15">
        <f t="shared" si="6"/>
        <v>0</v>
      </c>
    </row>
    <row r="47" spans="1:7" ht="15.75" thickBot="1" x14ac:dyDescent="0.3">
      <c r="A47" s="10" t="s">
        <v>112</v>
      </c>
      <c r="B47" s="58"/>
      <c r="C47" s="58"/>
      <c r="D47" s="58"/>
      <c r="E47" s="58"/>
      <c r="F47" s="58"/>
      <c r="G47" s="15">
        <f t="shared" si="6"/>
        <v>0</v>
      </c>
    </row>
    <row r="48" spans="1:7" ht="15.75" thickBot="1" x14ac:dyDescent="0.3">
      <c r="A48" s="10" t="s">
        <v>327</v>
      </c>
      <c r="B48" s="58"/>
      <c r="C48" s="58"/>
      <c r="D48" s="58"/>
      <c r="E48" s="58"/>
      <c r="F48" s="58"/>
      <c r="G48" s="15">
        <f t="shared" si="6"/>
        <v>0</v>
      </c>
    </row>
    <row r="49" spans="1:7" ht="15.75" thickBot="1" x14ac:dyDescent="0.3">
      <c r="A49" s="10" t="s">
        <v>328</v>
      </c>
      <c r="B49" s="58"/>
      <c r="C49" s="58"/>
      <c r="D49" s="58"/>
      <c r="E49" s="58"/>
      <c r="F49" s="58"/>
      <c r="G49" s="15">
        <f t="shared" si="6"/>
        <v>0</v>
      </c>
    </row>
    <row r="50" spans="1:7" ht="15.75" thickBot="1" x14ac:dyDescent="0.3">
      <c r="A50" s="8" t="s">
        <v>329</v>
      </c>
      <c r="B50" s="58"/>
      <c r="C50" s="58"/>
      <c r="D50" s="58"/>
      <c r="E50" s="58"/>
      <c r="F50" s="58"/>
      <c r="G50" s="15">
        <f t="shared" si="6"/>
        <v>0</v>
      </c>
    </row>
    <row r="51" spans="1:7" ht="15.75" thickBot="1" x14ac:dyDescent="0.3">
      <c r="A51" s="8" t="s">
        <v>330</v>
      </c>
      <c r="B51" s="58"/>
      <c r="C51" s="58"/>
      <c r="D51" s="58"/>
      <c r="E51" s="58"/>
      <c r="F51" s="58"/>
      <c r="G51" s="15">
        <f t="shared" si="6"/>
        <v>0</v>
      </c>
    </row>
    <row r="52" spans="1:7" ht="15.75" thickBot="1" x14ac:dyDescent="0.3">
      <c r="A52" s="12" t="s">
        <v>363</v>
      </c>
      <c r="B52" s="15">
        <f>B42+B46+B50+B51</f>
        <v>0</v>
      </c>
      <c r="C52" s="15">
        <f t="shared" ref="C52:F52" si="8">C42+C46+C50+C51</f>
        <v>0</v>
      </c>
      <c r="D52" s="15">
        <f t="shared" si="8"/>
        <v>0</v>
      </c>
      <c r="E52" s="15">
        <f t="shared" si="8"/>
        <v>0</v>
      </c>
      <c r="F52" s="15">
        <f t="shared" si="8"/>
        <v>0</v>
      </c>
      <c r="G52" s="15">
        <f t="shared" si="6"/>
        <v>0</v>
      </c>
    </row>
    <row r="53" spans="1:7" ht="15.75" thickBot="1" x14ac:dyDescent="0.3">
      <c r="A53" s="8" t="s">
        <v>331</v>
      </c>
      <c r="B53" s="15">
        <f>B54+B57</f>
        <v>0</v>
      </c>
      <c r="C53" s="15">
        <f t="shared" ref="C53:F53" si="9">C54+C57</f>
        <v>0</v>
      </c>
      <c r="D53" s="15">
        <f t="shared" si="9"/>
        <v>0</v>
      </c>
      <c r="E53" s="15">
        <f t="shared" si="9"/>
        <v>0</v>
      </c>
      <c r="F53" s="15">
        <f t="shared" si="9"/>
        <v>0</v>
      </c>
      <c r="G53" s="15">
        <f t="shared" si="6"/>
        <v>0</v>
      </c>
    </row>
    <row r="54" spans="1:7" ht="15.75" thickBot="1" x14ac:dyDescent="0.3">
      <c r="A54" s="10" t="s">
        <v>332</v>
      </c>
      <c r="B54" s="15">
        <f>SUM(B55:B56)</f>
        <v>0</v>
      </c>
      <c r="C54" s="15">
        <f t="shared" ref="C54:F54" si="10">SUM(C55:C56)</f>
        <v>0</v>
      </c>
      <c r="D54" s="15">
        <f t="shared" si="10"/>
        <v>0</v>
      </c>
      <c r="E54" s="15">
        <f t="shared" si="10"/>
        <v>0</v>
      </c>
      <c r="F54" s="15">
        <f t="shared" si="10"/>
        <v>0</v>
      </c>
      <c r="G54" s="15">
        <f t="shared" si="6"/>
        <v>0</v>
      </c>
    </row>
    <row r="55" spans="1:7" ht="15.75" thickBot="1" x14ac:dyDescent="0.3">
      <c r="A55" s="13" t="s">
        <v>333</v>
      </c>
      <c r="B55" s="58"/>
      <c r="C55" s="58"/>
      <c r="D55" s="58"/>
      <c r="E55" s="58"/>
      <c r="F55" s="58"/>
      <c r="G55" s="15">
        <f t="shared" si="6"/>
        <v>0</v>
      </c>
    </row>
    <row r="56" spans="1:7" ht="15.75" thickBot="1" x14ac:dyDescent="0.3">
      <c r="A56" s="13" t="s">
        <v>334</v>
      </c>
      <c r="B56" s="58"/>
      <c r="C56" s="58"/>
      <c r="D56" s="58"/>
      <c r="E56" s="58"/>
      <c r="F56" s="58"/>
      <c r="G56" s="15">
        <f t="shared" si="6"/>
        <v>0</v>
      </c>
    </row>
    <row r="57" spans="1:7" ht="15.75" thickBot="1" x14ac:dyDescent="0.3">
      <c r="A57" s="10" t="s">
        <v>335</v>
      </c>
      <c r="B57" s="15">
        <f>SUM(B58:B59)</f>
        <v>0</v>
      </c>
      <c r="C57" s="15">
        <f t="shared" ref="C57:F57" si="11">SUM(C58:C59)</f>
        <v>0</v>
      </c>
      <c r="D57" s="15">
        <f t="shared" si="11"/>
        <v>0</v>
      </c>
      <c r="E57" s="15">
        <f t="shared" si="11"/>
        <v>0</v>
      </c>
      <c r="F57" s="15">
        <f t="shared" si="11"/>
        <v>0</v>
      </c>
      <c r="G57" s="15">
        <f t="shared" si="6"/>
        <v>0</v>
      </c>
    </row>
    <row r="58" spans="1:7" ht="15.75" thickBot="1" x14ac:dyDescent="0.3">
      <c r="A58" s="13" t="s">
        <v>333</v>
      </c>
      <c r="B58" s="58"/>
      <c r="C58" s="58"/>
      <c r="D58" s="58"/>
      <c r="E58" s="58"/>
      <c r="F58" s="58"/>
      <c r="G58" s="15">
        <f t="shared" si="6"/>
        <v>0</v>
      </c>
    </row>
    <row r="59" spans="1:7" ht="15.75" thickBot="1" x14ac:dyDescent="0.3">
      <c r="A59" s="13" t="s">
        <v>334</v>
      </c>
      <c r="B59" s="58"/>
      <c r="C59" s="58"/>
      <c r="D59" s="58"/>
      <c r="E59" s="58"/>
      <c r="F59" s="58"/>
      <c r="G59" s="15">
        <f t="shared" si="6"/>
        <v>0</v>
      </c>
    </row>
    <row r="60" spans="1:7" ht="26.25" thickBot="1" x14ac:dyDescent="0.3">
      <c r="A60" s="16" t="s">
        <v>364</v>
      </c>
      <c r="B60" s="15">
        <f>B52+B53</f>
        <v>0</v>
      </c>
      <c r="C60" s="15">
        <f t="shared" ref="C60:F60" si="12">C52+C53</f>
        <v>0</v>
      </c>
      <c r="D60" s="15">
        <f t="shared" si="12"/>
        <v>0</v>
      </c>
      <c r="E60" s="15">
        <f t="shared" si="12"/>
        <v>0</v>
      </c>
      <c r="F60" s="15">
        <f t="shared" si="12"/>
        <v>0</v>
      </c>
      <c r="G60" s="15">
        <f t="shared" si="6"/>
        <v>0</v>
      </c>
    </row>
    <row r="61" spans="1:7" ht="15.75" thickBot="1" x14ac:dyDescent="0.3">
      <c r="A61" s="17" t="s">
        <v>336</v>
      </c>
      <c r="B61" s="15">
        <f>IF(B60&lt;B34,B34-B60,0)</f>
        <v>0</v>
      </c>
      <c r="C61" s="15">
        <f>IF(C60&lt;C34,C34-C60,0)</f>
        <v>0</v>
      </c>
      <c r="D61" s="15">
        <f>IF(D60&lt;D34,D34-D60,0)</f>
        <v>0</v>
      </c>
      <c r="E61" s="15">
        <f>IF(E60&lt;D34,D34-E60,0)</f>
        <v>0</v>
      </c>
      <c r="F61" s="15">
        <f>IF(F60&lt;D34,D34-F60,0)</f>
        <v>0</v>
      </c>
      <c r="G61" s="15"/>
    </row>
    <row r="62" spans="1:7" ht="15.75" thickBot="1" x14ac:dyDescent="0.3">
      <c r="A62" s="12" t="s">
        <v>337</v>
      </c>
      <c r="B62" s="15">
        <f>B60+B61</f>
        <v>0</v>
      </c>
      <c r="C62" s="15">
        <f t="shared" ref="C62:F62" si="13">C60+C61</f>
        <v>0</v>
      </c>
      <c r="D62" s="15">
        <f t="shared" si="13"/>
        <v>0</v>
      </c>
      <c r="E62" s="15">
        <f t="shared" si="13"/>
        <v>0</v>
      </c>
      <c r="F62" s="15">
        <f t="shared" si="13"/>
        <v>0</v>
      </c>
      <c r="G62" s="15"/>
    </row>
    <row r="64" spans="1:7" ht="15.75" thickBot="1" x14ac:dyDescent="0.3">
      <c r="A64" s="62" t="s">
        <v>338</v>
      </c>
      <c r="B64" s="62"/>
      <c r="C64" s="62"/>
      <c r="D64" s="62"/>
      <c r="E64" s="62"/>
      <c r="F64" s="62"/>
      <c r="G64" s="62"/>
    </row>
    <row r="65" spans="1:7" ht="15.75" thickBot="1" x14ac:dyDescent="0.3">
      <c r="A65" s="63" t="s">
        <v>339</v>
      </c>
      <c r="B65" s="63" t="s">
        <v>340</v>
      </c>
      <c r="C65" s="63"/>
      <c r="D65" s="63" t="s">
        <v>341</v>
      </c>
      <c r="E65" s="63" t="s">
        <v>342</v>
      </c>
      <c r="F65" s="63" t="s">
        <v>343</v>
      </c>
      <c r="G65" s="63" t="s">
        <v>365</v>
      </c>
    </row>
    <row r="66" spans="1:7" ht="17.25" customHeight="1" thickBot="1" x14ac:dyDescent="0.3">
      <c r="A66" s="63"/>
      <c r="B66" s="7" t="s">
        <v>344</v>
      </c>
      <c r="C66" s="7" t="s">
        <v>345</v>
      </c>
      <c r="D66" s="63"/>
      <c r="E66" s="63"/>
      <c r="F66" s="63"/>
      <c r="G66" s="63"/>
    </row>
    <row r="67" spans="1:7" ht="15.75" thickBot="1" x14ac:dyDescent="0.3">
      <c r="A67" s="8" t="s">
        <v>346</v>
      </c>
      <c r="B67" s="9">
        <f>SUM(B68:B70)</f>
        <v>0</v>
      </c>
      <c r="C67" s="9">
        <f t="shared" ref="C67:F67" si="14">SUM(C68:C70)</f>
        <v>0</v>
      </c>
      <c r="D67" s="9">
        <f t="shared" si="14"/>
        <v>0</v>
      </c>
      <c r="E67" s="9">
        <f t="shared" si="14"/>
        <v>0</v>
      </c>
      <c r="F67" s="9">
        <f t="shared" si="14"/>
        <v>0</v>
      </c>
      <c r="G67" s="9">
        <f>B67+C67-E67-F67</f>
        <v>0</v>
      </c>
    </row>
    <row r="68" spans="1:7" ht="15.75" thickBot="1" x14ac:dyDescent="0.3">
      <c r="A68" s="10" t="s">
        <v>347</v>
      </c>
      <c r="B68" s="57"/>
      <c r="C68" s="57"/>
      <c r="D68" s="57"/>
      <c r="E68" s="57"/>
      <c r="F68" s="57"/>
      <c r="G68" s="9">
        <f t="shared" ref="G68:G75" si="15">B68+C68-E68-F68</f>
        <v>0</v>
      </c>
    </row>
    <row r="69" spans="1:7" ht="15.75" thickBot="1" x14ac:dyDescent="0.3">
      <c r="A69" s="10" t="s">
        <v>348</v>
      </c>
      <c r="B69" s="57"/>
      <c r="C69" s="57"/>
      <c r="D69" s="57"/>
      <c r="E69" s="57"/>
      <c r="F69" s="57"/>
      <c r="G69" s="9">
        <f t="shared" si="15"/>
        <v>0</v>
      </c>
    </row>
    <row r="70" spans="1:7" ht="15.75" thickBot="1" x14ac:dyDescent="0.3">
      <c r="A70" s="10" t="s">
        <v>325</v>
      </c>
      <c r="B70" s="57"/>
      <c r="C70" s="57"/>
      <c r="D70" s="57"/>
      <c r="E70" s="57"/>
      <c r="F70" s="57"/>
      <c r="G70" s="9">
        <f t="shared" si="15"/>
        <v>0</v>
      </c>
    </row>
    <row r="71" spans="1:7" ht="15.75" thickBot="1" x14ac:dyDescent="0.3">
      <c r="A71" s="8" t="s">
        <v>349</v>
      </c>
      <c r="B71" s="9">
        <f>SUM(B72:B74)</f>
        <v>0</v>
      </c>
      <c r="C71" s="9">
        <f t="shared" ref="C71:F71" si="16">SUM(C72:C74)</f>
        <v>0</v>
      </c>
      <c r="D71" s="9">
        <f t="shared" si="16"/>
        <v>0</v>
      </c>
      <c r="E71" s="9">
        <f t="shared" si="16"/>
        <v>0</v>
      </c>
      <c r="F71" s="9">
        <f t="shared" si="16"/>
        <v>0</v>
      </c>
      <c r="G71" s="9">
        <f t="shared" si="15"/>
        <v>0</v>
      </c>
    </row>
    <row r="72" spans="1:7" ht="15.75" thickBot="1" x14ac:dyDescent="0.3">
      <c r="A72" s="10" t="s">
        <v>112</v>
      </c>
      <c r="B72" s="57"/>
      <c r="C72" s="57"/>
      <c r="D72" s="57"/>
      <c r="E72" s="57"/>
      <c r="F72" s="57"/>
      <c r="G72" s="9">
        <f t="shared" si="15"/>
        <v>0</v>
      </c>
    </row>
    <row r="73" spans="1:7" ht="15.75" thickBot="1" x14ac:dyDescent="0.3">
      <c r="A73" s="10" t="s">
        <v>327</v>
      </c>
      <c r="B73" s="57"/>
      <c r="C73" s="57"/>
      <c r="D73" s="57"/>
      <c r="E73" s="57"/>
      <c r="F73" s="57"/>
      <c r="G73" s="9">
        <f t="shared" si="15"/>
        <v>0</v>
      </c>
    </row>
    <row r="74" spans="1:7" ht="15.75" thickBot="1" x14ac:dyDescent="0.3">
      <c r="A74" s="10" t="s">
        <v>350</v>
      </c>
      <c r="B74" s="57"/>
      <c r="C74" s="57"/>
      <c r="D74" s="57"/>
      <c r="E74" s="57"/>
      <c r="F74" s="57"/>
      <c r="G74" s="9">
        <f t="shared" si="15"/>
        <v>0</v>
      </c>
    </row>
    <row r="75" spans="1:7" ht="15.75" thickBot="1" x14ac:dyDescent="0.3">
      <c r="A75" s="12" t="s">
        <v>215</v>
      </c>
      <c r="B75" s="9">
        <f>B67+B71</f>
        <v>0</v>
      </c>
      <c r="C75" s="9">
        <f t="shared" ref="C75:F75" si="17">C67+C71</f>
        <v>0</v>
      </c>
      <c r="D75" s="9">
        <f t="shared" si="17"/>
        <v>0</v>
      </c>
      <c r="E75" s="9">
        <f t="shared" si="17"/>
        <v>0</v>
      </c>
      <c r="F75" s="9">
        <f t="shared" si="17"/>
        <v>0</v>
      </c>
      <c r="G75" s="9">
        <f t="shared" si="15"/>
        <v>0</v>
      </c>
    </row>
    <row r="77" spans="1:7" ht="15.75" thickBot="1" x14ac:dyDescent="0.3">
      <c r="A77" s="64" t="s">
        <v>351</v>
      </c>
      <c r="B77" s="64"/>
      <c r="C77" s="64"/>
      <c r="D77" s="64"/>
      <c r="E77" s="64"/>
      <c r="F77" s="64"/>
    </row>
    <row r="78" spans="1:7" ht="15.75" thickBot="1" x14ac:dyDescent="0.3">
      <c r="A78" s="63" t="s">
        <v>352</v>
      </c>
      <c r="B78" s="63" t="s">
        <v>353</v>
      </c>
      <c r="C78" s="63"/>
      <c r="D78" s="63" t="s">
        <v>368</v>
      </c>
      <c r="E78" s="63" t="s">
        <v>369</v>
      </c>
      <c r="F78" s="63" t="s">
        <v>370</v>
      </c>
    </row>
    <row r="79" spans="1:7" ht="18" customHeight="1" thickBot="1" x14ac:dyDescent="0.3">
      <c r="A79" s="63"/>
      <c r="B79" s="7" t="s">
        <v>366</v>
      </c>
      <c r="C79" s="7" t="s">
        <v>367</v>
      </c>
      <c r="D79" s="63"/>
      <c r="E79" s="63"/>
      <c r="F79" s="63"/>
    </row>
    <row r="80" spans="1:7" ht="15.75" thickBot="1" x14ac:dyDescent="0.3">
      <c r="A80" s="8" t="s">
        <v>346</v>
      </c>
      <c r="B80" s="9">
        <f>SUM(B81:B83)</f>
        <v>0</v>
      </c>
      <c r="C80" s="9">
        <f t="shared" ref="C80:E80" si="18">SUM(C81:C83)</f>
        <v>0</v>
      </c>
      <c r="D80" s="9">
        <f t="shared" si="18"/>
        <v>0</v>
      </c>
      <c r="E80" s="9">
        <f t="shared" si="18"/>
        <v>0</v>
      </c>
      <c r="F80" s="9">
        <f>B80+C80-D80-E80</f>
        <v>0</v>
      </c>
    </row>
    <row r="81" spans="1:6" ht="15.75" thickBot="1" x14ac:dyDescent="0.3">
      <c r="A81" s="10" t="s">
        <v>347</v>
      </c>
      <c r="B81" s="57"/>
      <c r="C81" s="57"/>
      <c r="D81" s="57"/>
      <c r="E81" s="57"/>
      <c r="F81" s="9">
        <f t="shared" ref="F81:F88" si="19">B81+C81-D81-E81</f>
        <v>0</v>
      </c>
    </row>
    <row r="82" spans="1:6" ht="15.75" thickBot="1" x14ac:dyDescent="0.3">
      <c r="A82" s="10" t="s">
        <v>348</v>
      </c>
      <c r="B82" s="57"/>
      <c r="C82" s="57"/>
      <c r="D82" s="57"/>
      <c r="E82" s="57"/>
      <c r="F82" s="9">
        <f t="shared" si="19"/>
        <v>0</v>
      </c>
    </row>
    <row r="83" spans="1:6" ht="15.75" thickBot="1" x14ac:dyDescent="0.3">
      <c r="A83" s="10" t="s">
        <v>325</v>
      </c>
      <c r="B83" s="57"/>
      <c r="C83" s="57"/>
      <c r="D83" s="57"/>
      <c r="E83" s="57"/>
      <c r="F83" s="9">
        <f t="shared" si="19"/>
        <v>0</v>
      </c>
    </row>
    <row r="84" spans="1:6" ht="15.75" thickBot="1" x14ac:dyDescent="0.3">
      <c r="A84" s="8" t="s">
        <v>349</v>
      </c>
      <c r="B84" s="9">
        <f>SUM(B85:B87)</f>
        <v>0</v>
      </c>
      <c r="C84" s="9">
        <f t="shared" ref="C84:E84" si="20">SUM(C85:C87)</f>
        <v>0</v>
      </c>
      <c r="D84" s="9">
        <f t="shared" si="20"/>
        <v>0</v>
      </c>
      <c r="E84" s="9">
        <f t="shared" si="20"/>
        <v>0</v>
      </c>
      <c r="F84" s="9">
        <f t="shared" si="19"/>
        <v>0</v>
      </c>
    </row>
    <row r="85" spans="1:6" ht="15.75" thickBot="1" x14ac:dyDescent="0.3">
      <c r="A85" s="10" t="s">
        <v>112</v>
      </c>
      <c r="B85" s="57"/>
      <c r="C85" s="57"/>
      <c r="D85" s="57"/>
      <c r="E85" s="57"/>
      <c r="F85" s="9">
        <f t="shared" si="19"/>
        <v>0</v>
      </c>
    </row>
    <row r="86" spans="1:6" ht="15.75" thickBot="1" x14ac:dyDescent="0.3">
      <c r="A86" s="10" t="s">
        <v>327</v>
      </c>
      <c r="B86" s="57"/>
      <c r="C86" s="57"/>
      <c r="D86" s="57"/>
      <c r="E86" s="57"/>
      <c r="F86" s="9">
        <f t="shared" si="19"/>
        <v>0</v>
      </c>
    </row>
    <row r="87" spans="1:6" ht="15.75" thickBot="1" x14ac:dyDescent="0.3">
      <c r="A87" s="10" t="s">
        <v>350</v>
      </c>
      <c r="B87" s="57"/>
      <c r="C87" s="57"/>
      <c r="D87" s="57"/>
      <c r="E87" s="57"/>
      <c r="F87" s="9">
        <f t="shared" si="19"/>
        <v>0</v>
      </c>
    </row>
    <row r="88" spans="1:6" ht="15.75" thickBot="1" x14ac:dyDescent="0.3">
      <c r="A88" s="12" t="s">
        <v>215</v>
      </c>
      <c r="B88" s="9">
        <f>B80+B84</f>
        <v>0</v>
      </c>
      <c r="C88" s="9">
        <f t="shared" ref="C88:E88" si="21">C80+C84</f>
        <v>0</v>
      </c>
      <c r="D88" s="9">
        <f t="shared" si="21"/>
        <v>0</v>
      </c>
      <c r="E88" s="9">
        <f t="shared" si="21"/>
        <v>0</v>
      </c>
      <c r="F88" s="9">
        <f t="shared" si="19"/>
        <v>0</v>
      </c>
    </row>
  </sheetData>
  <sheetProtection sheet="1" objects="1" scenarios="1" formatCells="0" formatColumns="0" formatRows="0" insertColumns="0" insertRows="0" deleteColumns="0" deleteRows="0"/>
  <mergeCells count="18">
    <mergeCell ref="A64:G64"/>
    <mergeCell ref="A78:A79"/>
    <mergeCell ref="B78:C78"/>
    <mergeCell ref="D78:D79"/>
    <mergeCell ref="E78:E79"/>
    <mergeCell ref="F78:F79"/>
    <mergeCell ref="A77:F77"/>
    <mergeCell ref="F65:F66"/>
    <mergeCell ref="A65:A66"/>
    <mergeCell ref="B65:C65"/>
    <mergeCell ref="D65:D66"/>
    <mergeCell ref="E65:E66"/>
    <mergeCell ref="G65:G66"/>
    <mergeCell ref="A1:G1"/>
    <mergeCell ref="A2:G2"/>
    <mergeCell ref="A3:G3"/>
    <mergeCell ref="A5:G5"/>
    <mergeCell ref="A8:E8"/>
  </mergeCells>
  <pageMargins left="0.25" right="0.25" top="0.75" bottom="0.75" header="0.3" footer="0.3"/>
  <pageSetup paperSize="9" scale="38" orientation="landscape" r:id="rId1"/>
  <rowBreaks count="1" manualBreakCount="1">
    <brk id="4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topLeftCell="C31" zoomScaleNormal="100" workbookViewId="0">
      <selection activeCell="A85" sqref="A85"/>
    </sheetView>
  </sheetViews>
  <sheetFormatPr defaultRowHeight="15" x14ac:dyDescent="0.25"/>
  <cols>
    <col min="1" max="1" width="61.5703125" style="1" bestFit="1" customWidth="1"/>
    <col min="2" max="2" width="25.140625" style="1" bestFit="1" customWidth="1"/>
    <col min="3" max="3" width="42.5703125" style="1" bestFit="1" customWidth="1"/>
    <col min="4" max="4" width="18.7109375" style="18" bestFit="1" customWidth="1"/>
    <col min="5" max="5" width="62.7109375" style="18" bestFit="1" customWidth="1"/>
    <col min="6" max="6" width="40.42578125" style="1" bestFit="1" customWidth="1"/>
    <col min="7" max="7" width="24.140625" style="1" bestFit="1" customWidth="1"/>
    <col min="8" max="16384" width="9.140625" style="1"/>
  </cols>
  <sheetData>
    <row r="1" spans="1:7" x14ac:dyDescent="0.25">
      <c r="A1" s="65" t="str">
        <f>BO!A1</f>
        <v>Estado do Rio Grande do Sul</v>
      </c>
      <c r="B1" s="65"/>
      <c r="C1" s="65"/>
      <c r="D1" s="65"/>
      <c r="E1" s="65"/>
      <c r="F1" s="65"/>
      <c r="G1" s="65"/>
    </row>
    <row r="2" spans="1:7" x14ac:dyDescent="0.25">
      <c r="A2" s="65" t="str">
        <f>BO!A2</f>
        <v>MUNICÍPIO DE INDEPENDÊNCIA</v>
      </c>
      <c r="B2" s="65"/>
      <c r="C2" s="65"/>
      <c r="D2" s="65"/>
      <c r="E2" s="65"/>
      <c r="F2" s="65"/>
      <c r="G2" s="65"/>
    </row>
    <row r="3" spans="1:7" x14ac:dyDescent="0.25">
      <c r="A3" s="61" t="str">
        <f>BO!A3</f>
        <v>DEMONSTRAÇÕES CONTÁBEIS CONSOLIDADAS</v>
      </c>
      <c r="B3" s="61"/>
      <c r="C3" s="61"/>
      <c r="D3" s="61"/>
      <c r="E3" s="61"/>
      <c r="F3" s="61"/>
      <c r="G3" s="61"/>
    </row>
    <row r="4" spans="1:7" x14ac:dyDescent="0.25">
      <c r="B4" s="2"/>
      <c r="C4" s="3"/>
      <c r="F4" s="2" t="s">
        <v>97</v>
      </c>
      <c r="G4" s="3" t="str">
        <f>BO!G4</f>
        <v>12.091.144/0001-80</v>
      </c>
    </row>
    <row r="5" spans="1:7" x14ac:dyDescent="0.25">
      <c r="A5" s="61" t="s">
        <v>166</v>
      </c>
      <c r="B5" s="61"/>
      <c r="C5" s="61"/>
      <c r="D5" s="61"/>
      <c r="E5" s="61"/>
      <c r="F5" s="61"/>
      <c r="G5" s="61"/>
    </row>
    <row r="6" spans="1:7" x14ac:dyDescent="0.25">
      <c r="A6" s="3"/>
      <c r="F6" s="4" t="s">
        <v>96</v>
      </c>
      <c r="G6" s="5">
        <f>BO!G6</f>
        <v>2015</v>
      </c>
    </row>
    <row r="8" spans="1:7" ht="15.75" thickBot="1" x14ac:dyDescent="0.3">
      <c r="A8" s="66" t="s">
        <v>142</v>
      </c>
      <c r="B8" s="66"/>
      <c r="C8" s="66"/>
      <c r="D8" s="66"/>
      <c r="E8" s="66"/>
      <c r="F8" s="66"/>
      <c r="G8" s="66"/>
    </row>
    <row r="9" spans="1:7" ht="15.75" thickBot="1" x14ac:dyDescent="0.3">
      <c r="A9" s="63" t="s">
        <v>167</v>
      </c>
      <c r="B9" s="63"/>
      <c r="C9" s="63"/>
      <c r="E9" s="63" t="s">
        <v>190</v>
      </c>
      <c r="F9" s="63"/>
      <c r="G9" s="63"/>
    </row>
    <row r="10" spans="1:7" ht="15.75" thickBot="1" x14ac:dyDescent="0.3">
      <c r="A10" s="7" t="s">
        <v>168</v>
      </c>
      <c r="B10" s="19" t="s">
        <v>90</v>
      </c>
      <c r="C10" s="20" t="s">
        <v>91</v>
      </c>
      <c r="D10" s="1"/>
      <c r="E10" s="7" t="s">
        <v>168</v>
      </c>
      <c r="F10" s="19" t="s">
        <v>90</v>
      </c>
      <c r="G10" s="20" t="s">
        <v>91</v>
      </c>
    </row>
    <row r="11" spans="1:7" ht="15.75" thickBot="1" x14ac:dyDescent="0.3">
      <c r="A11" s="6" t="s">
        <v>169</v>
      </c>
      <c r="B11" s="21">
        <f>B12+B13</f>
        <v>0</v>
      </c>
      <c r="C11" s="21">
        <f>C12+C13</f>
        <v>0</v>
      </c>
      <c r="D11" s="1"/>
      <c r="E11" s="6" t="s">
        <v>191</v>
      </c>
      <c r="F11" s="21">
        <f>F12+F13</f>
        <v>0</v>
      </c>
      <c r="G11" s="21">
        <f>G12+G13</f>
        <v>0</v>
      </c>
    </row>
    <row r="12" spans="1:7" ht="15.75" thickBot="1" x14ac:dyDescent="0.3">
      <c r="A12" s="12" t="s">
        <v>170</v>
      </c>
      <c r="B12" s="68"/>
      <c r="C12" s="68"/>
      <c r="D12" s="1"/>
      <c r="E12" s="12" t="s">
        <v>170</v>
      </c>
      <c r="F12" s="68"/>
      <c r="G12" s="68"/>
    </row>
    <row r="13" spans="1:7" ht="15.75" thickBot="1" x14ac:dyDescent="0.3">
      <c r="A13" s="6" t="s">
        <v>171</v>
      </c>
      <c r="B13" s="21">
        <f>SUM(B14:B19)</f>
        <v>0</v>
      </c>
      <c r="C13" s="21">
        <f>SUM(C14:C19)</f>
        <v>0</v>
      </c>
      <c r="D13" s="1"/>
      <c r="E13" s="6" t="s">
        <v>171</v>
      </c>
      <c r="F13" s="21">
        <f>SUM(F14:F19)</f>
        <v>0</v>
      </c>
      <c r="G13" s="21">
        <f>SUM(G14:G19)</f>
        <v>0</v>
      </c>
    </row>
    <row r="14" spans="1:7" ht="15.75" thickBot="1" x14ac:dyDescent="0.3">
      <c r="A14" s="17" t="s">
        <v>172</v>
      </c>
      <c r="B14" s="68"/>
      <c r="C14" s="68"/>
      <c r="D14" s="1"/>
      <c r="E14" s="17" t="s">
        <v>192</v>
      </c>
      <c r="F14" s="68"/>
      <c r="G14" s="68"/>
    </row>
    <row r="15" spans="1:7" ht="15.75" thickBot="1" x14ac:dyDescent="0.3">
      <c r="A15" s="17" t="s">
        <v>173</v>
      </c>
      <c r="B15" s="68"/>
      <c r="C15" s="68"/>
      <c r="D15" s="1"/>
      <c r="E15" s="17" t="s">
        <v>193</v>
      </c>
      <c r="F15" s="68"/>
      <c r="G15" s="68"/>
    </row>
    <row r="16" spans="1:7" ht="15.75" thickBot="1" x14ac:dyDescent="0.3">
      <c r="A16" s="17" t="s">
        <v>174</v>
      </c>
      <c r="B16" s="68"/>
      <c r="C16" s="68"/>
      <c r="D16" s="1"/>
      <c r="E16" s="17" t="s">
        <v>194</v>
      </c>
      <c r="F16" s="68"/>
      <c r="G16" s="68"/>
    </row>
    <row r="17" spans="1:7" ht="15.75" thickBot="1" x14ac:dyDescent="0.3">
      <c r="A17" s="17" t="s">
        <v>175</v>
      </c>
      <c r="B17" s="68"/>
      <c r="C17" s="68"/>
      <c r="D17" s="1"/>
      <c r="E17" s="17" t="s">
        <v>195</v>
      </c>
      <c r="F17" s="68"/>
      <c r="G17" s="68"/>
    </row>
    <row r="18" spans="1:7" ht="15.75" thickBot="1" x14ac:dyDescent="0.3">
      <c r="A18" s="17" t="s">
        <v>176</v>
      </c>
      <c r="B18" s="68"/>
      <c r="C18" s="68"/>
      <c r="D18" s="1"/>
      <c r="E18" s="17" t="s">
        <v>196</v>
      </c>
      <c r="F18" s="68"/>
      <c r="G18" s="68"/>
    </row>
    <row r="19" spans="1:7" ht="15.75" thickBot="1" x14ac:dyDescent="0.3">
      <c r="A19" s="17" t="s">
        <v>177</v>
      </c>
      <c r="B19" s="68"/>
      <c r="C19" s="68"/>
      <c r="D19" s="1"/>
      <c r="E19" s="17" t="s">
        <v>177</v>
      </c>
      <c r="F19" s="68"/>
      <c r="G19" s="68"/>
    </row>
    <row r="20" spans="1:7" ht="15.75" thickBot="1" x14ac:dyDescent="0.3">
      <c r="A20" s="6" t="s">
        <v>178</v>
      </c>
      <c r="B20" s="21">
        <f>SUM(B21:B24)</f>
        <v>0</v>
      </c>
      <c r="C20" s="21">
        <f>SUM(C21:C24)</f>
        <v>0</v>
      </c>
      <c r="D20" s="1"/>
      <c r="E20" s="6" t="s">
        <v>197</v>
      </c>
      <c r="F20" s="21">
        <f>SUM(F21:F24)</f>
        <v>0</v>
      </c>
      <c r="G20" s="21">
        <f>SUM(G21:G24)</f>
        <v>0</v>
      </c>
    </row>
    <row r="21" spans="1:7" ht="15.75" thickBot="1" x14ac:dyDescent="0.3">
      <c r="A21" s="14" t="s">
        <v>179</v>
      </c>
      <c r="B21" s="68"/>
      <c r="C21" s="68"/>
      <c r="D21" s="1"/>
      <c r="E21" s="14" t="s">
        <v>198</v>
      </c>
      <c r="F21" s="68"/>
      <c r="G21" s="68"/>
    </row>
    <row r="22" spans="1:7" ht="15.75" thickBot="1" x14ac:dyDescent="0.3">
      <c r="A22" s="14" t="s">
        <v>180</v>
      </c>
      <c r="B22" s="68"/>
      <c r="C22" s="68"/>
      <c r="D22" s="1"/>
      <c r="E22" s="14" t="s">
        <v>199</v>
      </c>
      <c r="F22" s="68"/>
      <c r="G22" s="68"/>
    </row>
    <row r="23" spans="1:7" ht="15.75" thickBot="1" x14ac:dyDescent="0.3">
      <c r="A23" s="14" t="s">
        <v>181</v>
      </c>
      <c r="B23" s="68"/>
      <c r="C23" s="68"/>
      <c r="D23" s="1"/>
      <c r="E23" s="14" t="s">
        <v>200</v>
      </c>
      <c r="F23" s="68"/>
      <c r="G23" s="68"/>
    </row>
    <row r="24" spans="1:7" ht="15.75" thickBot="1" x14ac:dyDescent="0.3">
      <c r="A24" s="14" t="s">
        <v>182</v>
      </c>
      <c r="B24" s="68"/>
      <c r="C24" s="68"/>
      <c r="D24" s="1"/>
      <c r="E24" s="14" t="s">
        <v>201</v>
      </c>
      <c r="F24" s="68"/>
      <c r="G24" s="68"/>
    </row>
    <row r="25" spans="1:7" ht="15.75" thickBot="1" x14ac:dyDescent="0.3">
      <c r="A25" s="6" t="s">
        <v>183</v>
      </c>
      <c r="B25" s="21">
        <f>SUM(B26:B29)</f>
        <v>0</v>
      </c>
      <c r="C25" s="21">
        <f>SUM(C26:C29)</f>
        <v>0</v>
      </c>
      <c r="D25" s="1"/>
      <c r="E25" s="6" t="s">
        <v>202</v>
      </c>
      <c r="F25" s="21">
        <f>SUM(F26:F29)</f>
        <v>0</v>
      </c>
      <c r="G25" s="21">
        <f>SUM(G26:G29)</f>
        <v>0</v>
      </c>
    </row>
    <row r="26" spans="1:7" ht="15.75" thickBot="1" x14ac:dyDescent="0.3">
      <c r="A26" s="14" t="s">
        <v>184</v>
      </c>
      <c r="B26" s="68"/>
      <c r="C26" s="68"/>
      <c r="D26" s="1"/>
      <c r="E26" s="14" t="s">
        <v>203</v>
      </c>
      <c r="F26" s="68"/>
      <c r="G26" s="68"/>
    </row>
    <row r="27" spans="1:7" ht="15.75" thickBot="1" x14ac:dyDescent="0.3">
      <c r="A27" s="14" t="s">
        <v>185</v>
      </c>
      <c r="B27" s="68"/>
      <c r="C27" s="68"/>
      <c r="D27" s="1"/>
      <c r="E27" s="14" t="s">
        <v>204</v>
      </c>
      <c r="F27" s="68"/>
      <c r="G27" s="68"/>
    </row>
    <row r="28" spans="1:7" ht="15.75" thickBot="1" x14ac:dyDescent="0.3">
      <c r="A28" s="17" t="s">
        <v>186</v>
      </c>
      <c r="B28" s="68"/>
      <c r="C28" s="68"/>
      <c r="D28" s="1"/>
      <c r="E28" s="17" t="s">
        <v>186</v>
      </c>
      <c r="F28" s="68"/>
      <c r="G28" s="68"/>
    </row>
    <row r="29" spans="1:7" ht="15.75" thickBot="1" x14ac:dyDescent="0.3">
      <c r="A29" s="14" t="s">
        <v>187</v>
      </c>
      <c r="B29" s="68"/>
      <c r="C29" s="68"/>
      <c r="D29" s="1"/>
      <c r="E29" s="14" t="s">
        <v>205</v>
      </c>
      <c r="F29" s="68"/>
      <c r="G29" s="68"/>
    </row>
    <row r="30" spans="1:7" ht="15.75" thickBot="1" x14ac:dyDescent="0.3">
      <c r="A30" s="6" t="s">
        <v>188</v>
      </c>
      <c r="B30" s="21">
        <f>SUM(B31:B33)</f>
        <v>0</v>
      </c>
      <c r="C30" s="21">
        <f>SUM(C31:C33)</f>
        <v>0</v>
      </c>
      <c r="D30" s="1"/>
      <c r="E30" s="6" t="s">
        <v>206</v>
      </c>
      <c r="F30" s="21">
        <f>SUM(F31:F33)</f>
        <v>0</v>
      </c>
      <c r="G30" s="21">
        <f>SUM(G31:G33)</f>
        <v>0</v>
      </c>
    </row>
    <row r="31" spans="1:7" ht="15.75" thickBot="1" x14ac:dyDescent="0.3">
      <c r="A31" s="14" t="s">
        <v>102</v>
      </c>
      <c r="B31" s="68"/>
      <c r="C31" s="68"/>
      <c r="D31" s="1"/>
      <c r="E31" s="14" t="s">
        <v>102</v>
      </c>
      <c r="F31" s="68"/>
      <c r="G31" s="68"/>
    </row>
    <row r="32" spans="1:7" ht="15.75" thickBot="1" x14ac:dyDescent="0.3">
      <c r="A32" s="14" t="s">
        <v>186</v>
      </c>
      <c r="B32" s="68"/>
      <c r="C32" s="68"/>
      <c r="D32" s="1"/>
      <c r="E32" s="14" t="s">
        <v>186</v>
      </c>
      <c r="F32" s="68"/>
      <c r="G32" s="68"/>
    </row>
    <row r="33" spans="1:7" ht="15.75" thickBot="1" x14ac:dyDescent="0.3">
      <c r="A33" s="14" t="s">
        <v>104</v>
      </c>
      <c r="B33" s="68"/>
      <c r="C33" s="68"/>
      <c r="D33" s="1"/>
      <c r="E33" s="14" t="s">
        <v>104</v>
      </c>
      <c r="F33" s="68"/>
      <c r="G33" s="68"/>
    </row>
    <row r="34" spans="1:7" ht="15.75" thickBot="1" x14ac:dyDescent="0.3">
      <c r="A34" s="6" t="s">
        <v>189</v>
      </c>
      <c r="B34" s="21">
        <f>B11+B20+B25+B30</f>
        <v>0</v>
      </c>
      <c r="C34" s="21">
        <f>C11+C20+C25+C30</f>
        <v>0</v>
      </c>
      <c r="D34" s="1"/>
      <c r="E34" s="6" t="s">
        <v>207</v>
      </c>
      <c r="F34" s="21">
        <f>F11+F20+F25+F30</f>
        <v>0</v>
      </c>
      <c r="G34" s="21">
        <f>G11+G20+G25+G30</f>
        <v>0</v>
      </c>
    </row>
    <row r="36" spans="1:7" ht="15.75" thickBot="1" x14ac:dyDescent="0.3">
      <c r="A36" s="64" t="s">
        <v>208</v>
      </c>
      <c r="B36" s="64"/>
      <c r="C36" s="64"/>
      <c r="D36" s="64"/>
      <c r="E36" s="64"/>
      <c r="F36" s="64"/>
      <c r="G36" s="64"/>
    </row>
    <row r="37" spans="1:7" ht="15.75" thickBot="1" x14ac:dyDescent="0.3">
      <c r="A37" s="63" t="s">
        <v>168</v>
      </c>
      <c r="B37" s="63" t="s">
        <v>90</v>
      </c>
      <c r="C37" s="63"/>
      <c r="D37" s="63"/>
      <c r="E37" s="63" t="s">
        <v>91</v>
      </c>
      <c r="F37" s="63"/>
      <c r="G37" s="63"/>
    </row>
    <row r="38" spans="1:7" ht="15.75" thickBot="1" x14ac:dyDescent="0.3">
      <c r="A38" s="63"/>
      <c r="B38" s="12" t="s">
        <v>216</v>
      </c>
      <c r="C38" s="19" t="s">
        <v>209</v>
      </c>
      <c r="D38" s="20" t="s">
        <v>211</v>
      </c>
      <c r="E38" s="12" t="s">
        <v>216</v>
      </c>
      <c r="F38" s="7" t="s">
        <v>209</v>
      </c>
      <c r="G38" s="6" t="s">
        <v>211</v>
      </c>
    </row>
    <row r="39" spans="1:7" ht="15.75" thickBot="1" x14ac:dyDescent="0.3">
      <c r="A39" s="63"/>
      <c r="B39" s="7" t="s">
        <v>217</v>
      </c>
      <c r="C39" s="19" t="s">
        <v>210</v>
      </c>
      <c r="D39" s="19" t="s">
        <v>212</v>
      </c>
      <c r="E39" s="7" t="s">
        <v>218</v>
      </c>
      <c r="F39" s="7" t="s">
        <v>213</v>
      </c>
      <c r="G39" s="7" t="s">
        <v>214</v>
      </c>
    </row>
    <row r="40" spans="1:7" ht="15.75" thickBot="1" x14ac:dyDescent="0.3">
      <c r="A40" s="6" t="s">
        <v>170</v>
      </c>
      <c r="B40" s="71"/>
      <c r="C40" s="72"/>
      <c r="D40" s="23">
        <f>B40-C40</f>
        <v>0</v>
      </c>
      <c r="E40" s="71"/>
      <c r="F40" s="71"/>
      <c r="G40" s="24">
        <f>E40-F40</f>
        <v>0</v>
      </c>
    </row>
    <row r="41" spans="1:7" ht="15.75" thickBot="1" x14ac:dyDescent="0.3">
      <c r="A41" s="12" t="s">
        <v>171</v>
      </c>
      <c r="B41" s="22">
        <f>SUM(B42:B47)</f>
        <v>0</v>
      </c>
      <c r="C41" s="22">
        <f t="shared" ref="C41:G41" si="0">SUM(C42:C47)</f>
        <v>0</v>
      </c>
      <c r="D41" s="22">
        <f t="shared" si="0"/>
        <v>0</v>
      </c>
      <c r="E41" s="22">
        <f t="shared" si="0"/>
        <v>0</v>
      </c>
      <c r="F41" s="22">
        <f t="shared" si="0"/>
        <v>0</v>
      </c>
      <c r="G41" s="22">
        <f t="shared" si="0"/>
        <v>0</v>
      </c>
    </row>
    <row r="42" spans="1:7" ht="15.75" thickBot="1" x14ac:dyDescent="0.3">
      <c r="A42" s="10" t="s">
        <v>172</v>
      </c>
      <c r="B42" s="69"/>
      <c r="C42" s="70"/>
      <c r="D42" s="23">
        <f t="shared" ref="D42:D47" si="1">B42-C42</f>
        <v>0</v>
      </c>
      <c r="E42" s="69"/>
      <c r="F42" s="69"/>
      <c r="G42" s="24">
        <f t="shared" ref="G42:G47" si="2">E42-F42</f>
        <v>0</v>
      </c>
    </row>
    <row r="43" spans="1:7" ht="15.75" thickBot="1" x14ac:dyDescent="0.3">
      <c r="A43" s="10" t="s">
        <v>173</v>
      </c>
      <c r="B43" s="69"/>
      <c r="C43" s="70"/>
      <c r="D43" s="23">
        <f t="shared" si="1"/>
        <v>0</v>
      </c>
      <c r="E43" s="69"/>
      <c r="F43" s="69"/>
      <c r="G43" s="24">
        <f t="shared" si="2"/>
        <v>0</v>
      </c>
    </row>
    <row r="44" spans="1:7" ht="15.75" thickBot="1" x14ac:dyDescent="0.3">
      <c r="A44" s="10" t="s">
        <v>174</v>
      </c>
      <c r="B44" s="69"/>
      <c r="C44" s="70"/>
      <c r="D44" s="23">
        <f t="shared" si="1"/>
        <v>0</v>
      </c>
      <c r="E44" s="69"/>
      <c r="F44" s="69"/>
      <c r="G44" s="24">
        <f t="shared" si="2"/>
        <v>0</v>
      </c>
    </row>
    <row r="45" spans="1:7" ht="15.75" thickBot="1" x14ac:dyDescent="0.3">
      <c r="A45" s="10" t="s">
        <v>175</v>
      </c>
      <c r="B45" s="69"/>
      <c r="C45" s="70"/>
      <c r="D45" s="23">
        <f t="shared" si="1"/>
        <v>0</v>
      </c>
      <c r="E45" s="69"/>
      <c r="F45" s="69"/>
      <c r="G45" s="24">
        <f t="shared" si="2"/>
        <v>0</v>
      </c>
    </row>
    <row r="46" spans="1:7" ht="15.75" thickBot="1" x14ac:dyDescent="0.3">
      <c r="A46" s="10" t="s">
        <v>176</v>
      </c>
      <c r="B46" s="69"/>
      <c r="C46" s="70"/>
      <c r="D46" s="23">
        <f t="shared" si="1"/>
        <v>0</v>
      </c>
      <c r="E46" s="69"/>
      <c r="F46" s="69"/>
      <c r="G46" s="24">
        <f t="shared" si="2"/>
        <v>0</v>
      </c>
    </row>
    <row r="47" spans="1:7" ht="15.75" thickBot="1" x14ac:dyDescent="0.3">
      <c r="A47" s="10" t="s">
        <v>177</v>
      </c>
      <c r="B47" s="69"/>
      <c r="C47" s="70"/>
      <c r="D47" s="23">
        <f t="shared" si="1"/>
        <v>0</v>
      </c>
      <c r="E47" s="69"/>
      <c r="F47" s="69"/>
      <c r="G47" s="24">
        <f t="shared" si="2"/>
        <v>0</v>
      </c>
    </row>
    <row r="48" spans="1:7" ht="15.75" thickBot="1" x14ac:dyDescent="0.3">
      <c r="A48" s="6" t="s">
        <v>215</v>
      </c>
      <c r="B48" s="22">
        <f>B40+B41</f>
        <v>0</v>
      </c>
      <c r="C48" s="22">
        <f t="shared" ref="C48:G48" si="3">C40+C41</f>
        <v>0</v>
      </c>
      <c r="D48" s="22">
        <f t="shared" si="3"/>
        <v>0</v>
      </c>
      <c r="E48" s="22">
        <f t="shared" si="3"/>
        <v>0</v>
      </c>
      <c r="F48" s="22">
        <f t="shared" si="3"/>
        <v>0</v>
      </c>
      <c r="G48" s="22">
        <f t="shared" si="3"/>
        <v>0</v>
      </c>
    </row>
  </sheetData>
  <sheetProtection sheet="1" objects="1" scenarios="1" formatCells="0" formatColumns="0" formatRows="0" insertColumns="0" insertRows="0" deleteColumns="0" deleteRows="0" sort="0"/>
  <mergeCells count="11">
    <mergeCell ref="E37:G37"/>
    <mergeCell ref="A36:G36"/>
    <mergeCell ref="E9:G9"/>
    <mergeCell ref="A1:G1"/>
    <mergeCell ref="A2:G2"/>
    <mergeCell ref="A5:G5"/>
    <mergeCell ref="A8:G8"/>
    <mergeCell ref="A3:G3"/>
    <mergeCell ref="A37:A39"/>
    <mergeCell ref="B37:D37"/>
    <mergeCell ref="A9:C9"/>
  </mergeCells>
  <pageMargins left="0.25" right="0.25" top="0.75" bottom="0.75" header="0.3" footer="0.3"/>
  <pageSetup paperSize="9"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"/>
  <sheetViews>
    <sheetView topLeftCell="A66" zoomScale="85" zoomScaleNormal="85" workbookViewId="0">
      <selection activeCell="A85" sqref="A85"/>
    </sheetView>
  </sheetViews>
  <sheetFormatPr defaultRowHeight="15" x14ac:dyDescent="0.25"/>
  <cols>
    <col min="1" max="1" width="73.28515625" style="1" bestFit="1" customWidth="1"/>
    <col min="2" max="2" width="20.5703125" style="1" bestFit="1" customWidth="1"/>
    <col min="3" max="3" width="24.140625" style="1" bestFit="1" customWidth="1"/>
    <col min="4" max="4" width="18" style="1" bestFit="1" customWidth="1"/>
    <col min="5" max="5" width="14.28515625" style="18" bestFit="1" customWidth="1"/>
    <col min="6" max="6" width="9.140625" style="18"/>
    <col min="7" max="16384" width="9.140625" style="25"/>
  </cols>
  <sheetData>
    <row r="1" spans="1:6" x14ac:dyDescent="0.25">
      <c r="A1" s="65" t="str">
        <f>BO!A1</f>
        <v>Estado do Rio Grande do Sul</v>
      </c>
      <c r="B1" s="65"/>
      <c r="C1" s="65"/>
      <c r="D1" s="3"/>
    </row>
    <row r="2" spans="1:6" x14ac:dyDescent="0.25">
      <c r="A2" s="65" t="str">
        <f>BO!A2</f>
        <v>MUNICÍPIO DE INDEPENDÊNCIA</v>
      </c>
      <c r="B2" s="65"/>
      <c r="C2" s="65"/>
      <c r="D2" s="3"/>
    </row>
    <row r="3" spans="1:6" x14ac:dyDescent="0.25">
      <c r="A3" s="61" t="str">
        <f>BO!A3</f>
        <v>DEMONSTRAÇÕES CONTÁBEIS CONSOLIDADAS</v>
      </c>
      <c r="B3" s="61"/>
      <c r="C3" s="61"/>
      <c r="D3" s="5"/>
    </row>
    <row r="4" spans="1:6" x14ac:dyDescent="0.25">
      <c r="B4" s="2" t="s">
        <v>97</v>
      </c>
      <c r="C4" s="3" t="str">
        <f>BO!G4</f>
        <v>12.091.144/0001-80</v>
      </c>
      <c r="D4" s="3"/>
    </row>
    <row r="5" spans="1:6" x14ac:dyDescent="0.25">
      <c r="A5" s="61" t="s">
        <v>163</v>
      </c>
      <c r="B5" s="61"/>
      <c r="C5" s="61"/>
      <c r="D5" s="5"/>
    </row>
    <row r="6" spans="1:6" x14ac:dyDescent="0.25">
      <c r="A6" s="3"/>
      <c r="B6" s="4" t="s">
        <v>96</v>
      </c>
      <c r="C6" s="5">
        <f>BO!G6</f>
        <v>2015</v>
      </c>
    </row>
    <row r="7" spans="1:6" x14ac:dyDescent="0.25">
      <c r="A7" s="3"/>
      <c r="B7" s="4"/>
      <c r="C7" s="5"/>
    </row>
    <row r="8" spans="1:6" ht="15.75" thickBot="1" x14ac:dyDescent="0.3">
      <c r="A8" s="64" t="s">
        <v>142</v>
      </c>
      <c r="B8" s="64"/>
      <c r="C8" s="64"/>
    </row>
    <row r="9" spans="1:6" ht="15.75" thickBot="1" x14ac:dyDescent="0.3">
      <c r="A9" s="7" t="s">
        <v>99</v>
      </c>
      <c r="B9" s="19" t="s">
        <v>90</v>
      </c>
      <c r="C9" s="20" t="s">
        <v>91</v>
      </c>
      <c r="D9" s="25"/>
      <c r="E9" s="25"/>
      <c r="F9" s="25"/>
    </row>
    <row r="10" spans="1:6" ht="15.75" thickBot="1" x14ac:dyDescent="0.3">
      <c r="A10" s="7" t="s">
        <v>100</v>
      </c>
      <c r="B10" s="26">
        <f>B11+B17</f>
        <v>0</v>
      </c>
      <c r="C10" s="26">
        <f>C11+C17</f>
        <v>0</v>
      </c>
      <c r="D10" s="25"/>
      <c r="E10" s="25"/>
      <c r="F10" s="25"/>
    </row>
    <row r="11" spans="1:6" ht="15.75" thickBot="1" x14ac:dyDescent="0.3">
      <c r="A11" s="6" t="s">
        <v>101</v>
      </c>
      <c r="B11" s="26">
        <f>SUM(B12:B16)</f>
        <v>0</v>
      </c>
      <c r="C11" s="26">
        <f>SUM(C12:C16)</f>
        <v>0</v>
      </c>
      <c r="D11" s="25"/>
      <c r="E11" s="25"/>
      <c r="F11" s="25"/>
    </row>
    <row r="12" spans="1:6" ht="15.75" thickBot="1" x14ac:dyDescent="0.3">
      <c r="A12" s="10" t="s">
        <v>102</v>
      </c>
      <c r="B12" s="73"/>
      <c r="C12" s="73"/>
      <c r="D12" s="25"/>
      <c r="E12" s="25"/>
      <c r="F12" s="25"/>
    </row>
    <row r="13" spans="1:6" ht="15.75" thickBot="1" x14ac:dyDescent="0.3">
      <c r="A13" s="10" t="s">
        <v>103</v>
      </c>
      <c r="B13" s="73"/>
      <c r="C13" s="73"/>
      <c r="D13" s="25"/>
      <c r="E13" s="25"/>
      <c r="F13" s="25"/>
    </row>
    <row r="14" spans="1:6" ht="15.75" thickBot="1" x14ac:dyDescent="0.3">
      <c r="A14" s="10" t="s">
        <v>104</v>
      </c>
      <c r="B14" s="73"/>
      <c r="C14" s="73"/>
      <c r="D14" s="25"/>
      <c r="E14" s="25"/>
      <c r="F14" s="25"/>
    </row>
    <row r="15" spans="1:6" ht="15.75" thickBot="1" x14ac:dyDescent="0.3">
      <c r="A15" s="10" t="s">
        <v>105</v>
      </c>
      <c r="B15" s="73"/>
      <c r="C15" s="73"/>
      <c r="D15" s="25"/>
      <c r="E15" s="25"/>
      <c r="F15" s="25"/>
    </row>
    <row r="16" spans="1:6" ht="15.75" thickBot="1" x14ac:dyDescent="0.3">
      <c r="A16" s="10" t="s">
        <v>106</v>
      </c>
      <c r="B16" s="73"/>
      <c r="C16" s="73"/>
      <c r="D16" s="25"/>
      <c r="E16" s="25"/>
      <c r="F16" s="25"/>
    </row>
    <row r="17" spans="1:6" ht="15.75" thickBot="1" x14ac:dyDescent="0.3">
      <c r="A17" s="6" t="s">
        <v>107</v>
      </c>
      <c r="B17" s="26">
        <f>B18+B23+B24+B25+B26</f>
        <v>0</v>
      </c>
      <c r="C17" s="26">
        <f>C18+C23+C24+C25+C26</f>
        <v>0</v>
      </c>
      <c r="D17" s="25"/>
      <c r="E17" s="25"/>
      <c r="F17" s="25"/>
    </row>
    <row r="18" spans="1:6" ht="15.75" thickBot="1" x14ac:dyDescent="0.3">
      <c r="A18" s="10" t="s">
        <v>108</v>
      </c>
      <c r="B18" s="26">
        <f>SUM(B19:B22)</f>
        <v>0</v>
      </c>
      <c r="C18" s="26">
        <f>SUM(C19:C22)</f>
        <v>0</v>
      </c>
      <c r="D18" s="25"/>
      <c r="E18" s="25"/>
      <c r="F18" s="25"/>
    </row>
    <row r="19" spans="1:6" ht="15.75" thickBot="1" x14ac:dyDescent="0.3">
      <c r="A19" s="13" t="s">
        <v>109</v>
      </c>
      <c r="B19" s="73"/>
      <c r="C19" s="73"/>
      <c r="D19" s="25"/>
      <c r="E19" s="25"/>
      <c r="F19" s="25"/>
    </row>
    <row r="20" spans="1:6" ht="15.75" thickBot="1" x14ac:dyDescent="0.3">
      <c r="A20" s="13" t="s">
        <v>110</v>
      </c>
      <c r="B20" s="73"/>
      <c r="C20" s="73"/>
      <c r="D20" s="25"/>
      <c r="E20" s="25"/>
      <c r="F20" s="25"/>
    </row>
    <row r="21" spans="1:6" ht="15.75" thickBot="1" x14ac:dyDescent="0.3">
      <c r="A21" s="13" t="s">
        <v>105</v>
      </c>
      <c r="B21" s="73"/>
      <c r="C21" s="73"/>
      <c r="D21" s="25"/>
      <c r="E21" s="25"/>
      <c r="F21" s="25"/>
    </row>
    <row r="22" spans="1:6" ht="15.75" thickBot="1" x14ac:dyDescent="0.3">
      <c r="A22" s="13" t="s">
        <v>111</v>
      </c>
      <c r="B22" s="73"/>
      <c r="C22" s="73"/>
      <c r="D22" s="25"/>
      <c r="E22" s="25"/>
      <c r="F22" s="25"/>
    </row>
    <row r="23" spans="1:6" ht="15.75" thickBot="1" x14ac:dyDescent="0.3">
      <c r="A23" s="10" t="s">
        <v>112</v>
      </c>
      <c r="B23" s="73"/>
      <c r="C23" s="73"/>
      <c r="D23" s="25"/>
      <c r="E23" s="25"/>
      <c r="F23" s="25"/>
    </row>
    <row r="24" spans="1:6" ht="15.75" thickBot="1" x14ac:dyDescent="0.3">
      <c r="A24" s="10" t="s">
        <v>113</v>
      </c>
      <c r="B24" s="73"/>
      <c r="C24" s="73"/>
      <c r="D24" s="25"/>
      <c r="E24" s="25"/>
      <c r="F24" s="25"/>
    </row>
    <row r="25" spans="1:6" ht="15.75" thickBot="1" x14ac:dyDescent="0.3">
      <c r="A25" s="10" t="s">
        <v>114</v>
      </c>
      <c r="B25" s="73"/>
      <c r="C25" s="73"/>
      <c r="D25" s="25"/>
      <c r="E25" s="25"/>
      <c r="F25" s="25"/>
    </row>
    <row r="26" spans="1:6" ht="15.75" thickBot="1" x14ac:dyDescent="0.3">
      <c r="A26" s="10" t="s">
        <v>115</v>
      </c>
      <c r="B26" s="73"/>
      <c r="C26" s="73"/>
      <c r="D26" s="25"/>
      <c r="E26" s="25"/>
      <c r="F26" s="25"/>
    </row>
    <row r="27" spans="1:6" ht="15.75" thickBot="1" x14ac:dyDescent="0.3">
      <c r="A27" s="7" t="s">
        <v>116</v>
      </c>
      <c r="B27" s="26">
        <f>B28+B36+B44</f>
        <v>0</v>
      </c>
      <c r="C27" s="26">
        <f>C28+C36+C44</f>
        <v>0</v>
      </c>
      <c r="D27" s="25"/>
      <c r="E27" s="25"/>
      <c r="F27" s="25"/>
    </row>
    <row r="28" spans="1:6" ht="15.75" thickBot="1" x14ac:dyDescent="0.3">
      <c r="A28" s="6" t="s">
        <v>117</v>
      </c>
      <c r="B28" s="26">
        <f>SUM(B29:B35)</f>
        <v>0</v>
      </c>
      <c r="C28" s="26">
        <f>SUM(C29:C35)</f>
        <v>0</v>
      </c>
      <c r="D28" s="25"/>
      <c r="E28" s="25"/>
      <c r="F28" s="25"/>
    </row>
    <row r="29" spans="1:6" ht="15.75" thickBot="1" x14ac:dyDescent="0.3">
      <c r="A29" s="10" t="s">
        <v>118</v>
      </c>
      <c r="B29" s="73"/>
      <c r="C29" s="73"/>
      <c r="D29" s="25"/>
      <c r="E29" s="25"/>
      <c r="F29" s="25"/>
    </row>
    <row r="30" spans="1:6" ht="15.75" thickBot="1" x14ac:dyDescent="0.3">
      <c r="A30" s="10" t="s">
        <v>119</v>
      </c>
      <c r="B30" s="73"/>
      <c r="C30" s="73"/>
      <c r="D30" s="25"/>
      <c r="E30" s="25"/>
      <c r="F30" s="25"/>
    </row>
    <row r="31" spans="1:6" ht="15.75" thickBot="1" x14ac:dyDescent="0.3">
      <c r="A31" s="10" t="s">
        <v>120</v>
      </c>
      <c r="B31" s="73"/>
      <c r="C31" s="73"/>
      <c r="D31" s="25"/>
      <c r="E31" s="25"/>
      <c r="F31" s="25"/>
    </row>
    <row r="32" spans="1:6" ht="15.75" thickBot="1" x14ac:dyDescent="0.3">
      <c r="A32" s="10" t="s">
        <v>121</v>
      </c>
      <c r="B32" s="73"/>
      <c r="C32" s="73"/>
      <c r="D32" s="25"/>
      <c r="E32" s="25"/>
      <c r="F32" s="25"/>
    </row>
    <row r="33" spans="1:6" ht="15.75" thickBot="1" x14ac:dyDescent="0.3">
      <c r="A33" s="10" t="s">
        <v>122</v>
      </c>
      <c r="B33" s="73"/>
      <c r="C33" s="73"/>
      <c r="D33" s="25"/>
      <c r="E33" s="25"/>
      <c r="F33" s="25"/>
    </row>
    <row r="34" spans="1:6" ht="15.75" thickBot="1" x14ac:dyDescent="0.3">
      <c r="A34" s="10" t="s">
        <v>123</v>
      </c>
      <c r="B34" s="73"/>
      <c r="C34" s="73"/>
      <c r="D34" s="25"/>
      <c r="E34" s="25"/>
      <c r="F34" s="25"/>
    </row>
    <row r="35" spans="1:6" ht="15.75" thickBot="1" x14ac:dyDescent="0.3">
      <c r="A35" s="10" t="s">
        <v>124</v>
      </c>
      <c r="B35" s="73"/>
      <c r="C35" s="73"/>
      <c r="D35" s="25"/>
      <c r="E35" s="25"/>
      <c r="F35" s="25"/>
    </row>
    <row r="36" spans="1:6" ht="15.75" thickBot="1" x14ac:dyDescent="0.3">
      <c r="A36" s="6" t="s">
        <v>125</v>
      </c>
      <c r="B36" s="26">
        <f>SUM(B37:B43)</f>
        <v>0</v>
      </c>
      <c r="C36" s="26">
        <f>SUM(C37:C43)</f>
        <v>0</v>
      </c>
      <c r="D36" s="25"/>
      <c r="E36" s="25"/>
      <c r="F36" s="25"/>
    </row>
    <row r="37" spans="1:6" ht="15.75" thickBot="1" x14ac:dyDescent="0.3">
      <c r="A37" s="10" t="s">
        <v>126</v>
      </c>
      <c r="B37" s="73"/>
      <c r="C37" s="73"/>
      <c r="D37" s="25"/>
      <c r="E37" s="25"/>
      <c r="F37" s="25"/>
    </row>
    <row r="38" spans="1:6" ht="15.75" thickBot="1" x14ac:dyDescent="0.3">
      <c r="A38" s="10" t="s">
        <v>127</v>
      </c>
      <c r="B38" s="73"/>
      <c r="C38" s="73"/>
      <c r="D38" s="25"/>
      <c r="E38" s="25"/>
      <c r="F38" s="25"/>
    </row>
    <row r="39" spans="1:6" ht="15.75" thickBot="1" x14ac:dyDescent="0.3">
      <c r="A39" s="10" t="s">
        <v>128</v>
      </c>
      <c r="B39" s="73"/>
      <c r="C39" s="73"/>
      <c r="D39" s="25"/>
      <c r="E39" s="25"/>
      <c r="F39" s="25"/>
    </row>
    <row r="40" spans="1:6" ht="15.75" thickBot="1" x14ac:dyDescent="0.3">
      <c r="A40" s="10" t="s">
        <v>129</v>
      </c>
      <c r="B40" s="73"/>
      <c r="C40" s="73"/>
      <c r="D40" s="25"/>
      <c r="E40" s="25"/>
      <c r="F40" s="25"/>
    </row>
    <row r="41" spans="1:6" ht="15.75" thickBot="1" x14ac:dyDescent="0.3">
      <c r="A41" s="10" t="s">
        <v>130</v>
      </c>
      <c r="B41" s="73"/>
      <c r="C41" s="73"/>
      <c r="D41" s="25"/>
      <c r="E41" s="25"/>
      <c r="F41" s="25"/>
    </row>
    <row r="42" spans="1:6" ht="15.75" thickBot="1" x14ac:dyDescent="0.3">
      <c r="A42" s="10" t="s">
        <v>131</v>
      </c>
      <c r="B42" s="73"/>
      <c r="C42" s="73"/>
      <c r="D42" s="25"/>
      <c r="E42" s="25"/>
      <c r="F42" s="25"/>
    </row>
    <row r="43" spans="1:6" ht="15.75" thickBot="1" x14ac:dyDescent="0.3">
      <c r="A43" s="10" t="s">
        <v>132</v>
      </c>
      <c r="B43" s="73"/>
      <c r="C43" s="73"/>
      <c r="D43" s="25"/>
      <c r="E43" s="25"/>
      <c r="F43" s="25"/>
    </row>
    <row r="44" spans="1:6" ht="15.75" thickBot="1" x14ac:dyDescent="0.3">
      <c r="A44" s="6" t="s">
        <v>133</v>
      </c>
      <c r="B44" s="26">
        <f>SUM(B45:B52)</f>
        <v>0</v>
      </c>
      <c r="C44" s="26">
        <f>SUM(C45:C52)</f>
        <v>0</v>
      </c>
      <c r="D44" s="25"/>
      <c r="E44" s="25"/>
      <c r="F44" s="25"/>
    </row>
    <row r="45" spans="1:6" ht="15.75" thickBot="1" x14ac:dyDescent="0.3">
      <c r="A45" s="10" t="s">
        <v>134</v>
      </c>
      <c r="B45" s="73"/>
      <c r="C45" s="73"/>
      <c r="D45" s="25"/>
      <c r="E45" s="25"/>
      <c r="F45" s="25"/>
    </row>
    <row r="46" spans="1:6" ht="15.75" thickBot="1" x14ac:dyDescent="0.3">
      <c r="A46" s="10" t="s">
        <v>135</v>
      </c>
      <c r="B46" s="73"/>
      <c r="C46" s="73"/>
      <c r="D46" s="25"/>
      <c r="E46" s="25"/>
      <c r="F46" s="25"/>
    </row>
    <row r="47" spans="1:6" ht="15.75" thickBot="1" x14ac:dyDescent="0.3">
      <c r="A47" s="10" t="s">
        <v>136</v>
      </c>
      <c r="B47" s="73"/>
      <c r="C47" s="73"/>
      <c r="D47" s="25"/>
      <c r="E47" s="25"/>
      <c r="F47" s="25"/>
    </row>
    <row r="48" spans="1:6" ht="15.75" thickBot="1" x14ac:dyDescent="0.3">
      <c r="A48" s="10" t="s">
        <v>137</v>
      </c>
      <c r="B48" s="73"/>
      <c r="C48" s="73"/>
      <c r="D48" s="25"/>
      <c r="E48" s="25"/>
      <c r="F48" s="25"/>
    </row>
    <row r="49" spans="1:6" ht="15.75" thickBot="1" x14ac:dyDescent="0.3">
      <c r="A49" s="10" t="s">
        <v>138</v>
      </c>
      <c r="B49" s="73"/>
      <c r="C49" s="73"/>
      <c r="D49" s="25"/>
      <c r="E49" s="25"/>
      <c r="F49" s="25"/>
    </row>
    <row r="50" spans="1:6" ht="15.75" thickBot="1" x14ac:dyDescent="0.3">
      <c r="A50" s="10" t="s">
        <v>139</v>
      </c>
      <c r="B50" s="73"/>
      <c r="C50" s="73"/>
      <c r="D50" s="25"/>
      <c r="E50" s="25"/>
      <c r="F50" s="25"/>
    </row>
    <row r="51" spans="1:6" ht="15.75" thickBot="1" x14ac:dyDescent="0.3">
      <c r="A51" s="10" t="s">
        <v>140</v>
      </c>
      <c r="B51" s="73"/>
      <c r="C51" s="73"/>
      <c r="D51" s="25"/>
      <c r="E51" s="25"/>
      <c r="F51" s="25"/>
    </row>
    <row r="52" spans="1:6" ht="15.75" thickBot="1" x14ac:dyDescent="0.3">
      <c r="A52" s="10" t="s">
        <v>141</v>
      </c>
      <c r="B52" s="73"/>
      <c r="C52" s="73"/>
      <c r="D52" s="25"/>
      <c r="E52" s="25"/>
      <c r="F52" s="25"/>
    </row>
    <row r="54" spans="1:6" ht="15.75" thickBot="1" x14ac:dyDescent="0.3">
      <c r="A54" s="64" t="s">
        <v>143</v>
      </c>
      <c r="B54" s="64"/>
      <c r="C54" s="64"/>
    </row>
    <row r="55" spans="1:6" ht="15.75" thickBot="1" x14ac:dyDescent="0.3">
      <c r="A55" s="7" t="s">
        <v>99</v>
      </c>
      <c r="B55" s="19" t="s">
        <v>90</v>
      </c>
      <c r="C55" s="20" t="s">
        <v>91</v>
      </c>
      <c r="D55" s="18"/>
      <c r="E55" s="25"/>
      <c r="F55" s="25"/>
    </row>
    <row r="56" spans="1:6" ht="15.75" thickBot="1" x14ac:dyDescent="0.3">
      <c r="A56" s="7" t="s">
        <v>100</v>
      </c>
      <c r="B56" s="26">
        <f>B57+B58</f>
        <v>0</v>
      </c>
      <c r="C56" s="26">
        <f>C57+C58</f>
        <v>0</v>
      </c>
      <c r="D56" s="18"/>
      <c r="E56" s="25"/>
      <c r="F56" s="25"/>
    </row>
    <row r="57" spans="1:6" ht="15.75" thickBot="1" x14ac:dyDescent="0.3">
      <c r="A57" s="14" t="s">
        <v>144</v>
      </c>
      <c r="B57" s="74"/>
      <c r="C57" s="73"/>
      <c r="D57" s="18"/>
      <c r="E57" s="25"/>
      <c r="F57" s="25"/>
    </row>
    <row r="58" spans="1:6" ht="15.75" thickBot="1" x14ac:dyDescent="0.3">
      <c r="A58" s="14" t="s">
        <v>145</v>
      </c>
      <c r="B58" s="74"/>
      <c r="C58" s="73"/>
      <c r="D58" s="18"/>
      <c r="E58" s="25"/>
      <c r="F58" s="25"/>
    </row>
    <row r="59" spans="1:6" ht="15.75" thickBot="1" x14ac:dyDescent="0.3">
      <c r="A59" s="7" t="s">
        <v>146</v>
      </c>
      <c r="B59" s="27">
        <f>B60+B61</f>
        <v>0</v>
      </c>
      <c r="C59" s="27">
        <f>C60+C61</f>
        <v>0</v>
      </c>
      <c r="D59" s="18"/>
      <c r="E59" s="25"/>
      <c r="F59" s="25"/>
    </row>
    <row r="60" spans="1:6" ht="15.75" thickBot="1" x14ac:dyDescent="0.3">
      <c r="A60" s="14" t="s">
        <v>147</v>
      </c>
      <c r="B60" s="73"/>
      <c r="C60" s="73"/>
      <c r="D60" s="18"/>
      <c r="E60" s="25"/>
      <c r="F60" s="25"/>
    </row>
    <row r="61" spans="1:6" ht="15.75" thickBot="1" x14ac:dyDescent="0.3">
      <c r="A61" s="14" t="s">
        <v>148</v>
      </c>
      <c r="B61" s="73"/>
      <c r="C61" s="73"/>
      <c r="D61" s="18"/>
      <c r="E61" s="25"/>
      <c r="F61" s="25"/>
    </row>
    <row r="62" spans="1:6" ht="15.75" thickBot="1" x14ac:dyDescent="0.3">
      <c r="A62" s="6" t="s">
        <v>149</v>
      </c>
      <c r="B62" s="27">
        <f>B56-B61</f>
        <v>0</v>
      </c>
      <c r="C62" s="27">
        <f>C56-C61</f>
        <v>0</v>
      </c>
      <c r="D62" s="18"/>
      <c r="E62" s="25"/>
      <c r="F62" s="25"/>
    </row>
    <row r="64" spans="1:6" ht="15.75" thickBot="1" x14ac:dyDescent="0.3">
      <c r="A64" s="64" t="s">
        <v>150</v>
      </c>
      <c r="B64" s="64"/>
      <c r="C64" s="64"/>
    </row>
    <row r="65" spans="1:6" ht="15.75" thickBot="1" x14ac:dyDescent="0.3">
      <c r="A65" s="7" t="s">
        <v>99</v>
      </c>
      <c r="B65" s="19" t="s">
        <v>90</v>
      </c>
      <c r="C65" s="20" t="s">
        <v>91</v>
      </c>
      <c r="D65" s="18"/>
      <c r="E65" s="25"/>
      <c r="F65" s="25"/>
    </row>
    <row r="66" spans="1:6" ht="15.75" thickBot="1" x14ac:dyDescent="0.3">
      <c r="A66" s="6" t="s">
        <v>151</v>
      </c>
      <c r="B66" s="26">
        <f>SUM(B67:B70)</f>
        <v>0</v>
      </c>
      <c r="C66" s="26">
        <f>SUM(C67:C70)</f>
        <v>0</v>
      </c>
      <c r="D66" s="18"/>
      <c r="E66" s="25"/>
      <c r="F66" s="25"/>
    </row>
    <row r="67" spans="1:6" ht="15.75" thickBot="1" x14ac:dyDescent="0.3">
      <c r="A67" s="10" t="s">
        <v>152</v>
      </c>
      <c r="B67" s="73"/>
      <c r="C67" s="73"/>
      <c r="D67" s="18"/>
      <c r="E67" s="25"/>
      <c r="F67" s="25"/>
    </row>
    <row r="68" spans="1:6" ht="15.75" thickBot="1" x14ac:dyDescent="0.3">
      <c r="A68" s="10" t="s">
        <v>153</v>
      </c>
      <c r="B68" s="73"/>
      <c r="C68" s="73"/>
      <c r="D68" s="18"/>
      <c r="E68" s="25"/>
      <c r="F68" s="25"/>
    </row>
    <row r="69" spans="1:6" ht="15.75" thickBot="1" x14ac:dyDescent="0.3">
      <c r="A69" s="10" t="s">
        <v>154</v>
      </c>
      <c r="B69" s="73"/>
      <c r="C69" s="73"/>
      <c r="D69" s="18"/>
      <c r="E69" s="25"/>
      <c r="F69" s="25"/>
    </row>
    <row r="70" spans="1:6" ht="15.75" thickBot="1" x14ac:dyDescent="0.3">
      <c r="A70" s="10" t="s">
        <v>155</v>
      </c>
      <c r="B70" s="73"/>
      <c r="C70" s="73"/>
      <c r="D70" s="18"/>
      <c r="E70" s="25"/>
      <c r="F70" s="25"/>
    </row>
    <row r="71" spans="1:6" ht="15.75" thickBot="1" x14ac:dyDescent="0.3">
      <c r="A71" s="6" t="s">
        <v>156</v>
      </c>
      <c r="B71" s="26">
        <f>SUM(B72:B75)</f>
        <v>0</v>
      </c>
      <c r="C71" s="26">
        <f>SUM(C72:C75)</f>
        <v>440580.88</v>
      </c>
      <c r="D71" s="18"/>
      <c r="E71" s="25"/>
      <c r="F71" s="25"/>
    </row>
    <row r="72" spans="1:6" ht="15.75" thickBot="1" x14ac:dyDescent="0.3">
      <c r="A72" s="10" t="s">
        <v>157</v>
      </c>
      <c r="B72" s="73"/>
      <c r="C72" s="73"/>
      <c r="D72" s="18"/>
      <c r="E72" s="25"/>
      <c r="F72" s="25"/>
    </row>
    <row r="73" spans="1:6" ht="15.75" thickBot="1" x14ac:dyDescent="0.3">
      <c r="A73" s="10" t="s">
        <v>158</v>
      </c>
      <c r="B73" s="73"/>
      <c r="C73" s="73"/>
      <c r="D73" s="18"/>
      <c r="E73" s="25"/>
      <c r="F73" s="25"/>
    </row>
    <row r="74" spans="1:6" ht="15.75" thickBot="1" x14ac:dyDescent="0.3">
      <c r="A74" s="10" t="s">
        <v>159</v>
      </c>
      <c r="B74" s="73"/>
      <c r="C74" s="73"/>
      <c r="D74" s="18"/>
      <c r="E74" s="25"/>
      <c r="F74" s="25"/>
    </row>
    <row r="75" spans="1:6" ht="15.75" thickBot="1" x14ac:dyDescent="0.3">
      <c r="A75" s="10" t="s">
        <v>160</v>
      </c>
      <c r="B75" s="26"/>
      <c r="C75" s="26">
        <v>440580.88</v>
      </c>
      <c r="D75" s="18"/>
      <c r="E75" s="25"/>
      <c r="F75" s="25"/>
    </row>
    <row r="77" spans="1:6" ht="15.75" thickBot="1" x14ac:dyDescent="0.3">
      <c r="A77" s="64" t="s">
        <v>161</v>
      </c>
      <c r="B77" s="64"/>
      <c r="C77" s="64"/>
      <c r="D77" s="25"/>
    </row>
    <row r="78" spans="1:6" ht="15.75" thickBot="1" x14ac:dyDescent="0.3">
      <c r="A78" s="12" t="s">
        <v>164</v>
      </c>
      <c r="B78" s="19" t="s">
        <v>90</v>
      </c>
      <c r="C78" s="20" t="s">
        <v>91</v>
      </c>
      <c r="D78" s="25"/>
      <c r="E78" s="25"/>
      <c r="F78" s="25"/>
    </row>
    <row r="79" spans="1:6" ht="15.75" thickBot="1" x14ac:dyDescent="0.3">
      <c r="A79" s="75" t="s">
        <v>393</v>
      </c>
      <c r="B79" s="70"/>
      <c r="C79" s="70"/>
      <c r="D79" s="25"/>
      <c r="E79" s="25"/>
      <c r="F79" s="25"/>
    </row>
    <row r="80" spans="1:6" ht="15.75" thickBot="1" x14ac:dyDescent="0.3">
      <c r="A80" s="75" t="s">
        <v>394</v>
      </c>
      <c r="B80" s="70"/>
      <c r="C80" s="70"/>
      <c r="D80" s="25"/>
      <c r="E80" s="25"/>
      <c r="F80" s="25"/>
    </row>
    <row r="81" spans="1:6" ht="15.75" thickBot="1" x14ac:dyDescent="0.3">
      <c r="A81" s="75" t="s">
        <v>395</v>
      </c>
      <c r="B81" s="70"/>
      <c r="C81" s="70"/>
      <c r="D81" s="25"/>
      <c r="E81" s="25"/>
      <c r="F81" s="25"/>
    </row>
    <row r="82" spans="1:6" ht="15.75" thickBot="1" x14ac:dyDescent="0.3">
      <c r="A82" s="75" t="s">
        <v>396</v>
      </c>
      <c r="B82" s="70"/>
      <c r="C82" s="70"/>
      <c r="D82" s="25"/>
      <c r="E82" s="25"/>
      <c r="F82" s="25"/>
    </row>
    <row r="83" spans="1:6" ht="15.75" thickBot="1" x14ac:dyDescent="0.3">
      <c r="A83" s="76" t="s">
        <v>165</v>
      </c>
      <c r="B83" s="77"/>
      <c r="C83" s="77"/>
      <c r="D83" s="25"/>
      <c r="E83" s="25"/>
      <c r="F83" s="25"/>
    </row>
    <row r="84" spans="1:6" ht="15.75" thickBot="1" x14ac:dyDescent="0.3">
      <c r="A84" s="75"/>
      <c r="B84" s="70"/>
      <c r="C84" s="70"/>
      <c r="D84" s="25"/>
      <c r="E84" s="25"/>
      <c r="F84" s="25"/>
    </row>
    <row r="85" spans="1:6" ht="15.75" thickBot="1" x14ac:dyDescent="0.3">
      <c r="A85" s="75"/>
      <c r="B85" s="70"/>
      <c r="C85" s="70"/>
      <c r="D85" s="25"/>
      <c r="E85" s="25"/>
      <c r="F85" s="25"/>
    </row>
    <row r="86" spans="1:6" ht="15.75" thickBot="1" x14ac:dyDescent="0.3">
      <c r="A86" s="75"/>
      <c r="B86" s="70"/>
      <c r="C86" s="70"/>
      <c r="D86" s="25"/>
      <c r="E86" s="25"/>
      <c r="F86" s="25"/>
    </row>
    <row r="87" spans="1:6" ht="15.75" thickBot="1" x14ac:dyDescent="0.3">
      <c r="A87" s="75"/>
      <c r="B87" s="70"/>
      <c r="C87" s="70"/>
      <c r="D87" s="25"/>
      <c r="E87" s="25"/>
      <c r="F87" s="25"/>
    </row>
    <row r="88" spans="1:6" ht="15.75" thickBot="1" x14ac:dyDescent="0.3">
      <c r="A88" s="75"/>
      <c r="B88" s="70"/>
      <c r="C88" s="70"/>
      <c r="D88" s="25"/>
      <c r="E88" s="25"/>
      <c r="F88" s="25"/>
    </row>
    <row r="89" spans="1:6" ht="15.75" thickBot="1" x14ac:dyDescent="0.3">
      <c r="A89" s="75"/>
      <c r="B89" s="70"/>
      <c r="C89" s="70"/>
      <c r="D89" s="25"/>
      <c r="E89" s="25"/>
      <c r="F89" s="25"/>
    </row>
    <row r="90" spans="1:6" ht="15.75" thickBot="1" x14ac:dyDescent="0.3">
      <c r="A90" s="75"/>
      <c r="B90" s="70"/>
      <c r="C90" s="70"/>
      <c r="D90" s="25"/>
      <c r="E90" s="25"/>
      <c r="F90" s="25"/>
    </row>
    <row r="91" spans="1:6" ht="15.75" thickBot="1" x14ac:dyDescent="0.3">
      <c r="A91" s="75"/>
      <c r="B91" s="70"/>
      <c r="C91" s="70"/>
      <c r="D91" s="25"/>
      <c r="E91" s="25"/>
      <c r="F91" s="25"/>
    </row>
    <row r="92" spans="1:6" ht="15.75" thickBot="1" x14ac:dyDescent="0.3">
      <c r="A92" s="75"/>
      <c r="B92" s="70"/>
      <c r="C92" s="70"/>
      <c r="D92" s="25"/>
      <c r="E92" s="25"/>
      <c r="F92" s="25"/>
    </row>
    <row r="93" spans="1:6" ht="15.75" thickBot="1" x14ac:dyDescent="0.3">
      <c r="A93" s="75"/>
      <c r="B93" s="70"/>
      <c r="C93" s="70"/>
      <c r="D93" s="25"/>
      <c r="E93" s="25"/>
      <c r="F93" s="25"/>
    </row>
    <row r="94" spans="1:6" ht="15.75" thickBot="1" x14ac:dyDescent="0.3">
      <c r="A94" s="75"/>
      <c r="B94" s="70"/>
      <c r="C94" s="70"/>
      <c r="D94" s="25"/>
      <c r="E94" s="25"/>
      <c r="F94" s="25"/>
    </row>
    <row r="95" spans="1:6" ht="15.75" thickBot="1" x14ac:dyDescent="0.3">
      <c r="A95" s="75"/>
      <c r="B95" s="70"/>
      <c r="C95" s="70"/>
      <c r="D95" s="25"/>
      <c r="E95" s="25"/>
      <c r="F95" s="25"/>
    </row>
    <row r="96" spans="1:6" ht="15.75" thickBot="1" x14ac:dyDescent="0.3">
      <c r="A96" s="75"/>
      <c r="B96" s="70"/>
      <c r="C96" s="70"/>
      <c r="D96" s="25"/>
      <c r="E96" s="25"/>
      <c r="F96" s="25"/>
    </row>
    <row r="97" spans="1:6" ht="15.75" thickBot="1" x14ac:dyDescent="0.3">
      <c r="A97" s="75"/>
      <c r="B97" s="70"/>
      <c r="C97" s="70"/>
      <c r="D97" s="25"/>
      <c r="E97" s="25"/>
      <c r="F97" s="25"/>
    </row>
    <row r="98" spans="1:6" ht="15.75" thickBot="1" x14ac:dyDescent="0.3">
      <c r="A98" s="75"/>
      <c r="B98" s="70"/>
      <c r="C98" s="70"/>
      <c r="D98" s="25"/>
      <c r="E98" s="25"/>
      <c r="F98" s="25"/>
    </row>
    <row r="99" spans="1:6" ht="15.75" thickBot="1" x14ac:dyDescent="0.3">
      <c r="A99" s="75"/>
      <c r="B99" s="70"/>
      <c r="C99" s="70"/>
      <c r="D99" s="25"/>
      <c r="E99" s="25"/>
      <c r="F99" s="25"/>
    </row>
    <row r="100" spans="1:6" ht="15.75" thickBot="1" x14ac:dyDescent="0.3">
      <c r="A100" s="75"/>
      <c r="B100" s="70"/>
      <c r="C100" s="70"/>
      <c r="D100" s="25"/>
      <c r="E100" s="25"/>
      <c r="F100" s="25"/>
    </row>
    <row r="101" spans="1:6" ht="15.75" thickBot="1" x14ac:dyDescent="0.3">
      <c r="A101" s="75"/>
      <c r="B101" s="70"/>
      <c r="C101" s="70"/>
      <c r="D101" s="25"/>
      <c r="E101" s="25"/>
      <c r="F101" s="25"/>
    </row>
    <row r="102" spans="1:6" ht="15.75" thickBot="1" x14ac:dyDescent="0.3">
      <c r="A102" s="75"/>
      <c r="B102" s="70"/>
      <c r="C102" s="70"/>
      <c r="D102" s="25"/>
      <c r="E102" s="25"/>
      <c r="F102" s="25"/>
    </row>
    <row r="103" spans="1:6" ht="15.75" thickBot="1" x14ac:dyDescent="0.3">
      <c r="A103" s="75"/>
      <c r="B103" s="70"/>
      <c r="C103" s="70"/>
      <c r="D103" s="25"/>
      <c r="E103" s="25"/>
      <c r="F103" s="25"/>
    </row>
    <row r="104" spans="1:6" ht="15.75" thickBot="1" x14ac:dyDescent="0.3">
      <c r="A104" s="75"/>
      <c r="B104" s="70"/>
      <c r="C104" s="70"/>
      <c r="D104" s="25"/>
      <c r="E104" s="25"/>
      <c r="F104" s="25"/>
    </row>
    <row r="105" spans="1:6" ht="15.75" thickBot="1" x14ac:dyDescent="0.3">
      <c r="A105" s="75"/>
      <c r="B105" s="70"/>
      <c r="C105" s="70"/>
      <c r="D105" s="25"/>
      <c r="E105" s="25"/>
      <c r="F105" s="25"/>
    </row>
    <row r="106" spans="1:6" ht="15.75" thickBot="1" x14ac:dyDescent="0.3">
      <c r="A106" s="75"/>
      <c r="B106" s="70"/>
      <c r="C106" s="70"/>
      <c r="D106" s="25"/>
      <c r="E106" s="25"/>
      <c r="F106" s="25"/>
    </row>
    <row r="107" spans="1:6" ht="15.75" thickBot="1" x14ac:dyDescent="0.3">
      <c r="A107" s="75"/>
      <c r="B107" s="70"/>
      <c r="C107" s="70"/>
      <c r="D107" s="25"/>
      <c r="E107" s="25"/>
      <c r="F107" s="25"/>
    </row>
    <row r="108" spans="1:6" ht="15.75" thickBot="1" x14ac:dyDescent="0.3">
      <c r="A108" s="75"/>
      <c r="B108" s="70"/>
      <c r="C108" s="70"/>
      <c r="D108" s="25"/>
      <c r="E108" s="25"/>
      <c r="F108" s="25"/>
    </row>
    <row r="109" spans="1:6" ht="15.75" thickBot="1" x14ac:dyDescent="0.3">
      <c r="A109" s="75"/>
      <c r="B109" s="70"/>
      <c r="C109" s="70"/>
      <c r="D109" s="25"/>
      <c r="E109" s="25"/>
      <c r="F109" s="25"/>
    </row>
    <row r="110" spans="1:6" ht="15.75" thickBot="1" x14ac:dyDescent="0.3">
      <c r="A110" s="75"/>
      <c r="B110" s="70"/>
      <c r="C110" s="70"/>
      <c r="D110" s="25"/>
      <c r="E110" s="25"/>
      <c r="F110" s="25"/>
    </row>
    <row r="111" spans="1:6" ht="15.75" thickBot="1" x14ac:dyDescent="0.3">
      <c r="A111" s="75"/>
      <c r="B111" s="70"/>
      <c r="C111" s="70"/>
      <c r="D111" s="25"/>
      <c r="E111" s="25"/>
      <c r="F111" s="25"/>
    </row>
    <row r="112" spans="1:6" ht="15.75" thickBot="1" x14ac:dyDescent="0.3">
      <c r="A112" s="75"/>
      <c r="B112" s="70"/>
      <c r="C112" s="70"/>
      <c r="D112" s="25"/>
      <c r="E112" s="25"/>
      <c r="F112" s="25"/>
    </row>
    <row r="113" spans="1:6" s="54" customFormat="1" ht="15.75" thickBot="1" x14ac:dyDescent="0.3">
      <c r="A113" s="75"/>
      <c r="B113" s="70"/>
      <c r="C113" s="70"/>
    </row>
    <row r="114" spans="1:6" ht="15.75" thickBot="1" x14ac:dyDescent="0.3">
      <c r="A114" s="12" t="s">
        <v>162</v>
      </c>
      <c r="B114" s="53">
        <f>SUM(B79:B113)</f>
        <v>0</v>
      </c>
      <c r="C114" s="53">
        <f>SUM(C79:C113)</f>
        <v>0</v>
      </c>
      <c r="D114" s="18"/>
      <c r="E114" s="25"/>
      <c r="F114" s="25"/>
    </row>
  </sheetData>
  <sheetProtection sheet="1" objects="1" scenarios="1" formatCells="0" formatColumns="0" formatRows="0" insertColumns="0" insertRows="0" deleteColumns="0" deleteRows="0" sort="0"/>
  <mergeCells count="8">
    <mergeCell ref="A64:C64"/>
    <mergeCell ref="A77:C77"/>
    <mergeCell ref="A1:C1"/>
    <mergeCell ref="A2:C2"/>
    <mergeCell ref="A3:C3"/>
    <mergeCell ref="A5:C5"/>
    <mergeCell ref="A8:C8"/>
    <mergeCell ref="A54:C54"/>
  </mergeCells>
  <pageMargins left="0.25" right="0.25" top="0.75" bottom="0.75" header="0.3" footer="0.3"/>
  <pageSetup paperSize="9" scale="83" orientation="portrait" r:id="rId1"/>
  <rowBreaks count="1" manualBreakCount="1">
    <brk id="5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6"/>
  <sheetViews>
    <sheetView topLeftCell="A91" zoomScaleNormal="100" workbookViewId="0">
      <selection activeCell="A85" sqref="A85"/>
    </sheetView>
  </sheetViews>
  <sheetFormatPr defaultRowHeight="15" x14ac:dyDescent="0.25"/>
  <cols>
    <col min="1" max="1" width="89.140625" style="3" bestFit="1" customWidth="1"/>
    <col min="2" max="2" width="18.7109375" style="3" bestFit="1" customWidth="1"/>
    <col min="3" max="3" width="22.28515625" style="3" bestFit="1" customWidth="1"/>
    <col min="4" max="16384" width="9.140625" style="25"/>
  </cols>
  <sheetData>
    <row r="1" spans="1:3" x14ac:dyDescent="0.25">
      <c r="A1" s="65" t="str">
        <f>BO!A1</f>
        <v>Estado do Rio Grande do Sul</v>
      </c>
      <c r="B1" s="65"/>
      <c r="C1" s="65"/>
    </row>
    <row r="2" spans="1:3" x14ac:dyDescent="0.25">
      <c r="A2" s="65" t="str">
        <f>BO!A2</f>
        <v>MUNICÍPIO DE INDEPENDÊNCIA</v>
      </c>
      <c r="B2" s="65"/>
      <c r="C2" s="65"/>
    </row>
    <row r="3" spans="1:3" x14ac:dyDescent="0.25">
      <c r="A3" s="61" t="str">
        <f>BO!A3</f>
        <v>DEMONSTRAÇÕES CONTÁBEIS CONSOLIDADAS</v>
      </c>
      <c r="B3" s="61"/>
      <c r="C3" s="61"/>
    </row>
    <row r="4" spans="1:3" x14ac:dyDescent="0.25">
      <c r="A4" s="2" t="s">
        <v>97</v>
      </c>
      <c r="B4" s="67" t="str">
        <f>BO!G4</f>
        <v>12.091.144/0001-80</v>
      </c>
      <c r="C4" s="67"/>
    </row>
    <row r="5" spans="1:3" x14ac:dyDescent="0.25">
      <c r="A5" s="61" t="s">
        <v>95</v>
      </c>
      <c r="B5" s="61"/>
      <c r="C5" s="61"/>
    </row>
    <row r="6" spans="1:3" x14ac:dyDescent="0.25">
      <c r="B6" s="4" t="s">
        <v>96</v>
      </c>
      <c r="C6" s="5">
        <f>BO!G6</f>
        <v>2015</v>
      </c>
    </row>
    <row r="7" spans="1:3" ht="15.75" thickBot="1" x14ac:dyDescent="0.3"/>
    <row r="8" spans="1:3" ht="15.75" thickBot="1" x14ac:dyDescent="0.3">
      <c r="A8" s="7" t="s">
        <v>92</v>
      </c>
      <c r="B8" s="7" t="s">
        <v>90</v>
      </c>
      <c r="C8" s="6" t="s">
        <v>91</v>
      </c>
    </row>
    <row r="9" spans="1:3" ht="15.75" thickBot="1" x14ac:dyDescent="0.3">
      <c r="A9" s="6" t="s">
        <v>0</v>
      </c>
      <c r="B9" s="28">
        <f>B10+B14+B19+B23+B30+B40+B46</f>
        <v>0</v>
      </c>
      <c r="C9" s="29">
        <f>C10+C14+C19+C23+C30+C40+C46</f>
        <v>0</v>
      </c>
    </row>
    <row r="10" spans="1:3" ht="15.75" thickBot="1" x14ac:dyDescent="0.3">
      <c r="A10" s="30" t="s">
        <v>1</v>
      </c>
      <c r="B10" s="28">
        <f>SUM(B11:B13)</f>
        <v>0</v>
      </c>
      <c r="C10" s="29">
        <f>SUM(C11:C13)</f>
        <v>0</v>
      </c>
    </row>
    <row r="11" spans="1:3" ht="15.75" thickBot="1" x14ac:dyDescent="0.3">
      <c r="A11" s="13" t="s">
        <v>2</v>
      </c>
      <c r="B11" s="78"/>
      <c r="C11" s="79"/>
    </row>
    <row r="12" spans="1:3" ht="15.75" thickBot="1" x14ac:dyDescent="0.3">
      <c r="A12" s="13" t="s">
        <v>3</v>
      </c>
      <c r="B12" s="78"/>
      <c r="C12" s="79"/>
    </row>
    <row r="13" spans="1:3" ht="15.75" thickBot="1" x14ac:dyDescent="0.3">
      <c r="A13" s="13" t="s">
        <v>4</v>
      </c>
      <c r="B13" s="78"/>
      <c r="C13" s="79"/>
    </row>
    <row r="14" spans="1:3" ht="15.75" thickBot="1" x14ac:dyDescent="0.3">
      <c r="A14" s="30" t="s">
        <v>5</v>
      </c>
      <c r="B14" s="28">
        <f>SUM(B15:B18)</f>
        <v>0</v>
      </c>
      <c r="C14" s="29">
        <f>SUM(C15:C18)</f>
        <v>0</v>
      </c>
    </row>
    <row r="15" spans="1:3" ht="15.75" thickBot="1" x14ac:dyDescent="0.3">
      <c r="A15" s="13" t="s">
        <v>6</v>
      </c>
      <c r="B15" s="79"/>
      <c r="C15" s="80"/>
    </row>
    <row r="16" spans="1:3" ht="15.75" thickBot="1" x14ac:dyDescent="0.3">
      <c r="A16" s="13" t="s">
        <v>7</v>
      </c>
      <c r="B16" s="78"/>
      <c r="C16" s="79"/>
    </row>
    <row r="17" spans="1:3" ht="15.75" thickBot="1" x14ac:dyDescent="0.3">
      <c r="A17" s="13" t="s">
        <v>8</v>
      </c>
      <c r="B17" s="78"/>
      <c r="C17" s="79"/>
    </row>
    <row r="18" spans="1:3" ht="15.75" thickBot="1" x14ac:dyDescent="0.3">
      <c r="A18" s="13" t="s">
        <v>9</v>
      </c>
      <c r="B18" s="78"/>
      <c r="C18" s="79"/>
    </row>
    <row r="19" spans="1:3" ht="15.75" thickBot="1" x14ac:dyDescent="0.3">
      <c r="A19" s="30" t="s">
        <v>10</v>
      </c>
      <c r="B19" s="28">
        <f>SUM(B20:B22)</f>
        <v>0</v>
      </c>
      <c r="C19" s="29">
        <f>SUM(C20:C22)</f>
        <v>0</v>
      </c>
    </row>
    <row r="20" spans="1:3" ht="15.75" thickBot="1" x14ac:dyDescent="0.3">
      <c r="A20" s="13" t="s">
        <v>11</v>
      </c>
      <c r="B20" s="78"/>
      <c r="C20" s="79"/>
    </row>
    <row r="21" spans="1:3" ht="15.75" thickBot="1" x14ac:dyDescent="0.3">
      <c r="A21" s="13" t="s">
        <v>12</v>
      </c>
      <c r="B21" s="78"/>
      <c r="C21" s="79"/>
    </row>
    <row r="22" spans="1:3" ht="15.75" thickBot="1" x14ac:dyDescent="0.3">
      <c r="A22" s="13" t="s">
        <v>13</v>
      </c>
      <c r="B22" s="78"/>
      <c r="C22" s="79"/>
    </row>
    <row r="23" spans="1:3" ht="15.75" thickBot="1" x14ac:dyDescent="0.3">
      <c r="A23" s="30" t="s">
        <v>14</v>
      </c>
      <c r="B23" s="28">
        <f>SUM(B24:B29)</f>
        <v>0</v>
      </c>
      <c r="C23" s="29">
        <f>SUM(C24:C29)</f>
        <v>0</v>
      </c>
    </row>
    <row r="24" spans="1:3" ht="15.75" thickBot="1" x14ac:dyDescent="0.3">
      <c r="A24" s="13" t="s">
        <v>15</v>
      </c>
      <c r="B24" s="78"/>
      <c r="C24" s="79"/>
    </row>
    <row r="25" spans="1:3" ht="15.75" thickBot="1" x14ac:dyDescent="0.3">
      <c r="A25" s="13" t="s">
        <v>16</v>
      </c>
      <c r="B25" s="78"/>
      <c r="C25" s="79"/>
    </row>
    <row r="26" spans="1:3" ht="15.75" thickBot="1" x14ac:dyDescent="0.3">
      <c r="A26" s="13" t="s">
        <v>17</v>
      </c>
      <c r="B26" s="78"/>
      <c r="C26" s="79"/>
    </row>
    <row r="27" spans="1:3" ht="15.75" thickBot="1" x14ac:dyDescent="0.3">
      <c r="A27" s="13" t="s">
        <v>18</v>
      </c>
      <c r="B27" s="78"/>
      <c r="C27" s="79"/>
    </row>
    <row r="28" spans="1:3" ht="15.75" thickBot="1" x14ac:dyDescent="0.3">
      <c r="A28" s="13" t="s">
        <v>19</v>
      </c>
      <c r="B28" s="78"/>
      <c r="C28" s="79"/>
    </row>
    <row r="29" spans="1:3" ht="15.75" thickBot="1" x14ac:dyDescent="0.3">
      <c r="A29" s="13" t="s">
        <v>20</v>
      </c>
      <c r="B29" s="78"/>
      <c r="C29" s="79"/>
    </row>
    <row r="30" spans="1:3" ht="15.75" thickBot="1" x14ac:dyDescent="0.3">
      <c r="A30" s="30" t="s">
        <v>21</v>
      </c>
      <c r="B30" s="31">
        <f>SUM(B31:B39)</f>
        <v>0</v>
      </c>
      <c r="C30" s="29">
        <f>SUM(C31:C39)</f>
        <v>0</v>
      </c>
    </row>
    <row r="31" spans="1:3" ht="15.75" thickBot="1" x14ac:dyDescent="0.3">
      <c r="A31" s="13" t="s">
        <v>22</v>
      </c>
      <c r="B31" s="78"/>
      <c r="C31" s="78"/>
    </row>
    <row r="32" spans="1:3" ht="15.75" thickBot="1" x14ac:dyDescent="0.3">
      <c r="A32" s="13" t="s">
        <v>23</v>
      </c>
      <c r="B32" s="78"/>
      <c r="C32" s="79"/>
    </row>
    <row r="33" spans="1:3" ht="15.75" thickBot="1" x14ac:dyDescent="0.3">
      <c r="A33" s="13" t="s">
        <v>24</v>
      </c>
      <c r="B33" s="78"/>
      <c r="C33" s="79"/>
    </row>
    <row r="34" spans="1:3" ht="15.75" thickBot="1" x14ac:dyDescent="0.3">
      <c r="A34" s="13" t="s">
        <v>25</v>
      </c>
      <c r="B34" s="78"/>
      <c r="C34" s="79"/>
    </row>
    <row r="35" spans="1:3" ht="15.75" thickBot="1" x14ac:dyDescent="0.3">
      <c r="A35" s="13" t="s">
        <v>26</v>
      </c>
      <c r="B35" s="78"/>
      <c r="C35" s="79"/>
    </row>
    <row r="36" spans="1:3" ht="15.75" thickBot="1" x14ac:dyDescent="0.3">
      <c r="A36" s="13" t="s">
        <v>27</v>
      </c>
      <c r="B36" s="78"/>
      <c r="C36" s="79"/>
    </row>
    <row r="37" spans="1:3" ht="15.75" thickBot="1" x14ac:dyDescent="0.3">
      <c r="A37" s="13" t="s">
        <v>28</v>
      </c>
      <c r="B37" s="78"/>
      <c r="C37" s="79"/>
    </row>
    <row r="38" spans="1:3" ht="15.75" thickBot="1" x14ac:dyDescent="0.3">
      <c r="A38" s="13" t="s">
        <v>29</v>
      </c>
      <c r="B38" s="78"/>
      <c r="C38" s="79"/>
    </row>
    <row r="39" spans="1:3" ht="15.75" thickBot="1" x14ac:dyDescent="0.3">
      <c r="A39" s="13" t="s">
        <v>30</v>
      </c>
      <c r="B39" s="78"/>
      <c r="C39" s="79"/>
    </row>
    <row r="40" spans="1:3" ht="15.75" thickBot="1" x14ac:dyDescent="0.3">
      <c r="A40" s="30" t="s">
        <v>31</v>
      </c>
      <c r="B40" s="28">
        <f>SUM(B41:B45)</f>
        <v>0</v>
      </c>
      <c r="C40" s="29">
        <f>SUM(C41:C45)</f>
        <v>0</v>
      </c>
    </row>
    <row r="41" spans="1:3" ht="15.75" thickBot="1" x14ac:dyDescent="0.3">
      <c r="A41" s="13" t="s">
        <v>32</v>
      </c>
      <c r="B41" s="78"/>
      <c r="C41" s="79"/>
    </row>
    <row r="42" spans="1:3" ht="15.75" thickBot="1" x14ac:dyDescent="0.3">
      <c r="A42" s="13" t="s">
        <v>33</v>
      </c>
      <c r="B42" s="78"/>
      <c r="C42" s="79"/>
    </row>
    <row r="43" spans="1:3" ht="15.75" thickBot="1" x14ac:dyDescent="0.3">
      <c r="A43" s="13" t="s">
        <v>34</v>
      </c>
      <c r="B43" s="78"/>
      <c r="C43" s="79"/>
    </row>
    <row r="44" spans="1:3" ht="15.75" thickBot="1" x14ac:dyDescent="0.3">
      <c r="A44" s="13" t="s">
        <v>35</v>
      </c>
      <c r="B44" s="78"/>
      <c r="C44" s="79"/>
    </row>
    <row r="45" spans="1:3" ht="15.75" thickBot="1" x14ac:dyDescent="0.3">
      <c r="A45" s="13" t="s">
        <v>36</v>
      </c>
      <c r="B45" s="78"/>
      <c r="C45" s="78"/>
    </row>
    <row r="46" spans="1:3" ht="15.75" thickBot="1" x14ac:dyDescent="0.3">
      <c r="A46" s="30" t="s">
        <v>37</v>
      </c>
      <c r="B46" s="28">
        <f>SUM(B47:B50)</f>
        <v>0</v>
      </c>
      <c r="C46" s="29">
        <f>SUM(C47:C50)</f>
        <v>0</v>
      </c>
    </row>
    <row r="47" spans="1:3" ht="15.75" thickBot="1" x14ac:dyDescent="0.3">
      <c r="A47" s="13" t="s">
        <v>38</v>
      </c>
      <c r="B47" s="78"/>
      <c r="C47" s="79"/>
    </row>
    <row r="48" spans="1:3" ht="15.75" thickBot="1" x14ac:dyDescent="0.3">
      <c r="A48" s="13" t="s">
        <v>39</v>
      </c>
      <c r="B48" s="78"/>
      <c r="C48" s="78"/>
    </row>
    <row r="49" spans="1:3" ht="15.75" thickBot="1" x14ac:dyDescent="0.3">
      <c r="A49" s="13" t="s">
        <v>40</v>
      </c>
      <c r="B49" s="78"/>
      <c r="C49" s="78"/>
    </row>
    <row r="50" spans="1:3" ht="15.75" thickBot="1" x14ac:dyDescent="0.3">
      <c r="A50" s="13" t="s">
        <v>41</v>
      </c>
      <c r="B50" s="79"/>
      <c r="C50" s="80"/>
    </row>
    <row r="51" spans="1:3" ht="15.75" thickBot="1" x14ac:dyDescent="0.3">
      <c r="A51" s="32"/>
      <c r="B51" s="33"/>
      <c r="C51" s="33"/>
    </row>
    <row r="52" spans="1:3" ht="15.75" thickBot="1" x14ac:dyDescent="0.3">
      <c r="A52" s="6" t="s">
        <v>42</v>
      </c>
      <c r="B52" s="29">
        <f>B53+B58+B65+B69+B75+B84+B90+B93+B97</f>
        <v>0</v>
      </c>
      <c r="C52" s="29">
        <f>C53+C58+C65+C69+C75+C84+C90+C93+C97</f>
        <v>0</v>
      </c>
    </row>
    <row r="53" spans="1:3" ht="15.75" thickBot="1" x14ac:dyDescent="0.3">
      <c r="A53" s="30" t="s">
        <v>43</v>
      </c>
      <c r="B53" s="28">
        <f>SUM(B54:B57)</f>
        <v>0</v>
      </c>
      <c r="C53" s="29">
        <f>SUM(C54:C57)</f>
        <v>0</v>
      </c>
    </row>
    <row r="54" spans="1:3" ht="15.75" thickBot="1" x14ac:dyDescent="0.3">
      <c r="A54" s="13" t="s">
        <v>44</v>
      </c>
      <c r="B54" s="78"/>
      <c r="C54" s="79"/>
    </row>
    <row r="55" spans="1:3" ht="15.75" thickBot="1" x14ac:dyDescent="0.3">
      <c r="A55" s="13" t="s">
        <v>45</v>
      </c>
      <c r="B55" s="78"/>
      <c r="C55" s="80"/>
    </row>
    <row r="56" spans="1:3" ht="15.75" thickBot="1" x14ac:dyDescent="0.3">
      <c r="A56" s="13" t="s">
        <v>46</v>
      </c>
      <c r="B56" s="78"/>
      <c r="C56" s="79"/>
    </row>
    <row r="57" spans="1:3" ht="15.75" thickBot="1" x14ac:dyDescent="0.3">
      <c r="A57" s="13" t="s">
        <v>47</v>
      </c>
      <c r="B57" s="78"/>
      <c r="C57" s="79"/>
    </row>
    <row r="58" spans="1:3" ht="15.75" thickBot="1" x14ac:dyDescent="0.3">
      <c r="A58" s="30" t="s">
        <v>48</v>
      </c>
      <c r="B58" s="28">
        <f>SUM(B59:B64)</f>
        <v>0</v>
      </c>
      <c r="C58" s="29">
        <f>SUM(C59:C64)</f>
        <v>0</v>
      </c>
    </row>
    <row r="59" spans="1:3" ht="15.75" thickBot="1" x14ac:dyDescent="0.3">
      <c r="A59" s="13" t="s">
        <v>49</v>
      </c>
      <c r="B59" s="78"/>
      <c r="C59" s="79"/>
    </row>
    <row r="60" spans="1:3" ht="15.75" thickBot="1" x14ac:dyDescent="0.3">
      <c r="A60" s="13" t="s">
        <v>50</v>
      </c>
      <c r="B60" s="78"/>
      <c r="C60" s="79"/>
    </row>
    <row r="61" spans="1:3" ht="15.75" thickBot="1" x14ac:dyDescent="0.3">
      <c r="A61" s="13" t="s">
        <v>51</v>
      </c>
      <c r="B61" s="78"/>
      <c r="C61" s="79"/>
    </row>
    <row r="62" spans="1:3" ht="15.75" thickBot="1" x14ac:dyDescent="0.3">
      <c r="A62" s="13" t="s">
        <v>52</v>
      </c>
      <c r="B62" s="78"/>
      <c r="C62" s="79"/>
    </row>
    <row r="63" spans="1:3" ht="15.75" thickBot="1" x14ac:dyDescent="0.3">
      <c r="A63" s="13" t="s">
        <v>53</v>
      </c>
      <c r="B63" s="78"/>
      <c r="C63" s="79"/>
    </row>
    <row r="64" spans="1:3" ht="15.75" thickBot="1" x14ac:dyDescent="0.3">
      <c r="A64" s="13" t="s">
        <v>54</v>
      </c>
      <c r="B64" s="78"/>
      <c r="C64" s="79"/>
    </row>
    <row r="65" spans="1:3" ht="15.75" thickBot="1" x14ac:dyDescent="0.3">
      <c r="A65" s="30" t="s">
        <v>55</v>
      </c>
      <c r="B65" s="28">
        <f>SUM(B66:B68)</f>
        <v>0</v>
      </c>
      <c r="C65" s="29">
        <f>SUM(C66:C68)</f>
        <v>0</v>
      </c>
    </row>
    <row r="66" spans="1:3" ht="15.75" thickBot="1" x14ac:dyDescent="0.3">
      <c r="A66" s="13" t="s">
        <v>56</v>
      </c>
      <c r="B66" s="78"/>
      <c r="C66" s="79"/>
    </row>
    <row r="67" spans="1:3" ht="15.75" thickBot="1" x14ac:dyDescent="0.3">
      <c r="A67" s="13" t="s">
        <v>57</v>
      </c>
      <c r="B67" s="78"/>
      <c r="C67" s="79"/>
    </row>
    <row r="68" spans="1:3" ht="15.75" thickBot="1" x14ac:dyDescent="0.3">
      <c r="A68" s="13" t="s">
        <v>58</v>
      </c>
      <c r="B68" s="78"/>
      <c r="C68" s="79"/>
    </row>
    <row r="69" spans="1:3" ht="15.75" thickBot="1" x14ac:dyDescent="0.3">
      <c r="A69" s="30" t="s">
        <v>59</v>
      </c>
      <c r="B69" s="28">
        <f>SUM(B70:B74)</f>
        <v>0</v>
      </c>
      <c r="C69" s="29">
        <f>SUM(C70:C74)</f>
        <v>0</v>
      </c>
    </row>
    <row r="70" spans="1:3" ht="15.75" thickBot="1" x14ac:dyDescent="0.3">
      <c r="A70" s="13" t="s">
        <v>60</v>
      </c>
      <c r="B70" s="78"/>
      <c r="C70" s="79"/>
    </row>
    <row r="71" spans="1:3" ht="15.75" thickBot="1" x14ac:dyDescent="0.3">
      <c r="A71" s="13" t="s">
        <v>16</v>
      </c>
      <c r="B71" s="78"/>
      <c r="C71" s="79"/>
    </row>
    <row r="72" spans="1:3" ht="15.75" thickBot="1" x14ac:dyDescent="0.3">
      <c r="A72" s="13" t="s">
        <v>17</v>
      </c>
      <c r="B72" s="78"/>
      <c r="C72" s="79"/>
    </row>
    <row r="73" spans="1:3" ht="15.75" thickBot="1" x14ac:dyDescent="0.3">
      <c r="A73" s="13" t="s">
        <v>61</v>
      </c>
      <c r="B73" s="78"/>
      <c r="C73" s="79"/>
    </row>
    <row r="74" spans="1:3" ht="15.75" thickBot="1" x14ac:dyDescent="0.3">
      <c r="A74" s="13" t="s">
        <v>62</v>
      </c>
      <c r="B74" s="78"/>
      <c r="C74" s="79"/>
    </row>
    <row r="75" spans="1:3" ht="15.75" thickBot="1" x14ac:dyDescent="0.3">
      <c r="A75" s="30" t="s">
        <v>63</v>
      </c>
      <c r="B75" s="31">
        <f>SUM(B76:B83)</f>
        <v>0</v>
      </c>
      <c r="C75" s="29">
        <f>SUM(C76:C83)</f>
        <v>0</v>
      </c>
    </row>
    <row r="76" spans="1:3" ht="15.75" thickBot="1" x14ac:dyDescent="0.3">
      <c r="A76" s="13" t="s">
        <v>22</v>
      </c>
      <c r="B76" s="78"/>
      <c r="C76" s="80"/>
    </row>
    <row r="77" spans="1:3" ht="15.75" thickBot="1" x14ac:dyDescent="0.3">
      <c r="A77" s="13" t="s">
        <v>23</v>
      </c>
      <c r="B77" s="78"/>
      <c r="C77" s="79"/>
    </row>
    <row r="78" spans="1:3" ht="15.75" thickBot="1" x14ac:dyDescent="0.3">
      <c r="A78" s="13" t="s">
        <v>64</v>
      </c>
      <c r="B78" s="78"/>
      <c r="C78" s="79"/>
    </row>
    <row r="79" spans="1:3" ht="15.75" thickBot="1" x14ac:dyDescent="0.3">
      <c r="A79" s="13" t="s">
        <v>65</v>
      </c>
      <c r="B79" s="78"/>
      <c r="C79" s="79"/>
    </row>
    <row r="80" spans="1:3" ht="15.75" thickBot="1" x14ac:dyDescent="0.3">
      <c r="A80" s="13" t="s">
        <v>66</v>
      </c>
      <c r="B80" s="78"/>
      <c r="C80" s="79"/>
    </row>
    <row r="81" spans="1:3" ht="15.75" thickBot="1" x14ac:dyDescent="0.3">
      <c r="A81" s="13" t="s">
        <v>67</v>
      </c>
      <c r="B81" s="78"/>
      <c r="C81" s="79"/>
    </row>
    <row r="82" spans="1:3" ht="15.75" thickBot="1" x14ac:dyDescent="0.3">
      <c r="A82" s="13" t="s">
        <v>68</v>
      </c>
      <c r="B82" s="78"/>
      <c r="C82" s="79"/>
    </row>
    <row r="83" spans="1:3" ht="15.75" thickBot="1" x14ac:dyDescent="0.3">
      <c r="A83" s="13" t="s">
        <v>69</v>
      </c>
      <c r="B83" s="78"/>
      <c r="C83" s="79"/>
    </row>
    <row r="84" spans="1:3" ht="15.75" thickBot="1" x14ac:dyDescent="0.3">
      <c r="A84" s="30" t="s">
        <v>70</v>
      </c>
      <c r="B84" s="28">
        <f>SUM(B85:B89)</f>
        <v>0</v>
      </c>
      <c r="C84" s="29">
        <f>SUM(C85:C89)</f>
        <v>0</v>
      </c>
    </row>
    <row r="85" spans="1:3" ht="15.75" thickBot="1" x14ac:dyDescent="0.3">
      <c r="A85" s="13" t="s">
        <v>71</v>
      </c>
      <c r="B85" s="79"/>
      <c r="C85" s="80"/>
    </row>
    <row r="86" spans="1:3" ht="15.75" thickBot="1" x14ac:dyDescent="0.3">
      <c r="A86" s="13" t="s">
        <v>72</v>
      </c>
      <c r="B86" s="78"/>
      <c r="C86" s="79"/>
    </row>
    <row r="87" spans="1:3" ht="15.75" thickBot="1" x14ac:dyDescent="0.3">
      <c r="A87" s="13" t="s">
        <v>73</v>
      </c>
      <c r="B87" s="78"/>
      <c r="C87" s="79"/>
    </row>
    <row r="88" spans="1:3" ht="15.75" thickBot="1" x14ac:dyDescent="0.3">
      <c r="A88" s="13" t="s">
        <v>74</v>
      </c>
      <c r="B88" s="78"/>
      <c r="C88" s="79"/>
    </row>
    <row r="89" spans="1:3" ht="15.75" thickBot="1" x14ac:dyDescent="0.3">
      <c r="A89" s="13" t="s">
        <v>75</v>
      </c>
      <c r="B89" s="78"/>
      <c r="C89" s="79"/>
    </row>
    <row r="90" spans="1:3" ht="15.75" thickBot="1" x14ac:dyDescent="0.3">
      <c r="A90" s="30" t="s">
        <v>76</v>
      </c>
      <c r="B90" s="28">
        <f>SUM(B91:B92)</f>
        <v>0</v>
      </c>
      <c r="C90" s="29">
        <f>SUM(C91:C92)</f>
        <v>0</v>
      </c>
    </row>
    <row r="91" spans="1:3" ht="15.75" thickBot="1" x14ac:dyDescent="0.3">
      <c r="A91" s="13" t="s">
        <v>1</v>
      </c>
      <c r="B91" s="78"/>
      <c r="C91" s="79"/>
    </row>
    <row r="92" spans="1:3" ht="15.75" thickBot="1" x14ac:dyDescent="0.3">
      <c r="A92" s="13" t="s">
        <v>5</v>
      </c>
      <c r="B92" s="78"/>
      <c r="C92" s="78"/>
    </row>
    <row r="93" spans="1:3" ht="15.75" thickBot="1" x14ac:dyDescent="0.3">
      <c r="A93" s="30" t="s">
        <v>77</v>
      </c>
      <c r="B93" s="28">
        <f>SUM(B94:B96)</f>
        <v>0</v>
      </c>
      <c r="C93" s="29">
        <f>SUM(C94:C96)</f>
        <v>0</v>
      </c>
    </row>
    <row r="94" spans="1:3" ht="15.75" thickBot="1" x14ac:dyDescent="0.3">
      <c r="A94" s="13" t="s">
        <v>78</v>
      </c>
      <c r="B94" s="78"/>
      <c r="C94" s="79"/>
    </row>
    <row r="95" spans="1:3" ht="15.75" thickBot="1" x14ac:dyDescent="0.3">
      <c r="A95" s="13" t="s">
        <v>79</v>
      </c>
      <c r="B95" s="78"/>
      <c r="C95" s="79"/>
    </row>
    <row r="96" spans="1:3" ht="15.75" thickBot="1" x14ac:dyDescent="0.3">
      <c r="A96" s="13" t="s">
        <v>80</v>
      </c>
      <c r="B96" s="78"/>
      <c r="C96" s="79"/>
    </row>
    <row r="97" spans="1:3" ht="15.75" thickBot="1" x14ac:dyDescent="0.3">
      <c r="A97" s="30" t="s">
        <v>81</v>
      </c>
      <c r="B97" s="28">
        <f>SUM(B98:B104)</f>
        <v>0</v>
      </c>
      <c r="C97" s="29">
        <f>SUM(C98:C104)</f>
        <v>0</v>
      </c>
    </row>
    <row r="98" spans="1:3" ht="15.75" thickBot="1" x14ac:dyDescent="0.3">
      <c r="A98" s="13" t="s">
        <v>82</v>
      </c>
      <c r="B98" s="78"/>
      <c r="C98" s="79"/>
    </row>
    <row r="99" spans="1:3" ht="15.75" thickBot="1" x14ac:dyDescent="0.3">
      <c r="A99" s="13" t="s">
        <v>83</v>
      </c>
      <c r="B99" s="78"/>
      <c r="C99" s="78"/>
    </row>
    <row r="100" spans="1:3" ht="15.75" thickBot="1" x14ac:dyDescent="0.3">
      <c r="A100" s="13" t="s">
        <v>84</v>
      </c>
      <c r="B100" s="78"/>
      <c r="C100" s="79"/>
    </row>
    <row r="101" spans="1:3" ht="15.75" thickBot="1" x14ac:dyDescent="0.3">
      <c r="A101" s="13" t="s">
        <v>85</v>
      </c>
      <c r="B101" s="78"/>
      <c r="C101" s="79"/>
    </row>
    <row r="102" spans="1:3" ht="15.75" thickBot="1" x14ac:dyDescent="0.3">
      <c r="A102" s="13" t="s">
        <v>86</v>
      </c>
      <c r="B102" s="78"/>
      <c r="C102" s="79"/>
    </row>
    <row r="103" spans="1:3" ht="15.75" thickBot="1" x14ac:dyDescent="0.3">
      <c r="A103" s="13" t="s">
        <v>87</v>
      </c>
      <c r="B103" s="78"/>
      <c r="C103" s="79"/>
    </row>
    <row r="104" spans="1:3" ht="15.75" thickBot="1" x14ac:dyDescent="0.3">
      <c r="A104" s="34" t="s">
        <v>88</v>
      </c>
      <c r="B104" s="81"/>
      <c r="C104" s="82"/>
    </row>
    <row r="105" spans="1:3" ht="15.75" thickBot="1" x14ac:dyDescent="0.3">
      <c r="A105" s="35"/>
      <c r="B105" s="36"/>
      <c r="C105" s="37"/>
    </row>
    <row r="106" spans="1:3" ht="15.75" thickBot="1" x14ac:dyDescent="0.3">
      <c r="A106" s="6" t="s">
        <v>89</v>
      </c>
      <c r="B106" s="38">
        <f>B9-B52</f>
        <v>0</v>
      </c>
      <c r="C106" s="38">
        <f>C9-C52</f>
        <v>0</v>
      </c>
    </row>
  </sheetData>
  <sheetProtection sheet="1" objects="1" scenarios="1" formatCells="0" formatColumns="0" formatRows="0" insertColumns="0" insertRows="0" deleteColumns="0" deleteRows="0"/>
  <mergeCells count="5">
    <mergeCell ref="A1:C1"/>
    <mergeCell ref="A2:C2"/>
    <mergeCell ref="A5:C5"/>
    <mergeCell ref="A3:C3"/>
    <mergeCell ref="B4:C4"/>
  </mergeCells>
  <pageMargins left="0.25" right="0.25" top="0.75" bottom="0.75" header="0.3" footer="0.3"/>
  <pageSetup paperSize="9" scale="76" orientation="portrait" r:id="rId1"/>
  <rowBreaks count="1" manualBreakCount="1">
    <brk id="51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topLeftCell="A71" zoomScaleNormal="100" workbookViewId="0">
      <selection activeCell="A85" sqref="A85"/>
    </sheetView>
  </sheetViews>
  <sheetFormatPr defaultRowHeight="15" x14ac:dyDescent="0.25"/>
  <cols>
    <col min="1" max="1" width="78.28515625" style="1" bestFit="1" customWidth="1"/>
    <col min="2" max="2" width="20.5703125" style="1" bestFit="1" customWidth="1"/>
    <col min="3" max="3" width="24.140625" style="1" bestFit="1" customWidth="1"/>
    <col min="4" max="4" width="37.85546875" style="1" customWidth="1"/>
    <col min="5" max="5" width="27.42578125" style="1" customWidth="1"/>
    <col min="6" max="6" width="15.140625" style="18" bestFit="1" customWidth="1"/>
    <col min="7" max="7" width="9.140625" style="18"/>
    <col min="8" max="16384" width="9.140625" style="1"/>
  </cols>
  <sheetData>
    <row r="1" spans="1:7" x14ac:dyDescent="0.25">
      <c r="A1" s="65" t="str">
        <f>BO!A1</f>
        <v>Estado do Rio Grande do Sul</v>
      </c>
      <c r="B1" s="65"/>
      <c r="C1" s="65"/>
    </row>
    <row r="2" spans="1:7" x14ac:dyDescent="0.25">
      <c r="A2" s="65" t="str">
        <f>BO!A2</f>
        <v>MUNICÍPIO DE INDEPENDÊNCIA</v>
      </c>
      <c r="B2" s="65"/>
      <c r="C2" s="65"/>
    </row>
    <row r="3" spans="1:7" x14ac:dyDescent="0.25">
      <c r="A3" s="61" t="str">
        <f>BO!A3</f>
        <v>DEMONSTRAÇÕES CONTÁBEIS CONSOLIDADAS</v>
      </c>
      <c r="B3" s="61"/>
      <c r="C3" s="61"/>
    </row>
    <row r="4" spans="1:7" x14ac:dyDescent="0.25">
      <c r="B4" s="2" t="s">
        <v>97</v>
      </c>
      <c r="C4" s="3" t="str">
        <f>BO!G4</f>
        <v>12.091.144/0001-80</v>
      </c>
    </row>
    <row r="5" spans="1:7" x14ac:dyDescent="0.25">
      <c r="A5" s="61" t="s">
        <v>295</v>
      </c>
      <c r="B5" s="61"/>
      <c r="C5" s="61"/>
    </row>
    <row r="6" spans="1:7" x14ac:dyDescent="0.25">
      <c r="A6" s="3"/>
      <c r="B6" s="4" t="s">
        <v>96</v>
      </c>
      <c r="C6" s="5">
        <f>BO!G6</f>
        <v>2015</v>
      </c>
    </row>
    <row r="7" spans="1:7" ht="15.75" thickBot="1" x14ac:dyDescent="0.3"/>
    <row r="8" spans="1:7" ht="15.75" thickBot="1" x14ac:dyDescent="0.3">
      <c r="A8" s="39" t="s">
        <v>99</v>
      </c>
      <c r="B8" s="40" t="s">
        <v>90</v>
      </c>
      <c r="C8" s="41" t="s">
        <v>91</v>
      </c>
      <c r="F8" s="1"/>
      <c r="G8" s="1"/>
    </row>
    <row r="9" spans="1:7" ht="15.75" thickBot="1" x14ac:dyDescent="0.3">
      <c r="A9" s="42" t="s">
        <v>219</v>
      </c>
      <c r="B9" s="43">
        <f>B10-B29</f>
        <v>0</v>
      </c>
      <c r="C9" s="43">
        <f>C10-C29</f>
        <v>0</v>
      </c>
      <c r="F9" s="1"/>
      <c r="G9" s="1"/>
    </row>
    <row r="10" spans="1:7" ht="15.75" thickBot="1" x14ac:dyDescent="0.3">
      <c r="A10" s="44" t="s">
        <v>220</v>
      </c>
      <c r="B10" s="43">
        <f>B11+B20+B27</f>
        <v>0</v>
      </c>
      <c r="C10" s="43">
        <f>C11+C20+C27</f>
        <v>0</v>
      </c>
      <c r="F10" s="1"/>
      <c r="G10" s="1"/>
    </row>
    <row r="11" spans="1:7" ht="15.75" thickBot="1" x14ac:dyDescent="0.3">
      <c r="A11" s="45" t="s">
        <v>221</v>
      </c>
      <c r="B11" s="43">
        <f>SUM(B12:B19)</f>
        <v>0</v>
      </c>
      <c r="C11" s="43">
        <f>SUM(C12:C19)</f>
        <v>0</v>
      </c>
      <c r="F11" s="1"/>
      <c r="G11" s="1"/>
    </row>
    <row r="12" spans="1:7" ht="15.75" thickBot="1" x14ac:dyDescent="0.3">
      <c r="A12" s="46" t="s">
        <v>222</v>
      </c>
      <c r="B12" s="83"/>
      <c r="C12" s="83"/>
      <c r="F12" s="1"/>
      <c r="G12" s="1"/>
    </row>
    <row r="13" spans="1:7" ht="15.75" thickBot="1" x14ac:dyDescent="0.3">
      <c r="A13" s="46" t="s">
        <v>223</v>
      </c>
      <c r="B13" s="83"/>
      <c r="C13" s="83"/>
      <c r="F13" s="1"/>
      <c r="G13" s="1"/>
    </row>
    <row r="14" spans="1:7" ht="15.75" thickBot="1" x14ac:dyDescent="0.3">
      <c r="A14" s="46" t="s">
        <v>224</v>
      </c>
      <c r="B14" s="83"/>
      <c r="C14" s="83"/>
      <c r="F14" s="1"/>
      <c r="G14" s="1"/>
    </row>
    <row r="15" spans="1:7" ht="15.75" thickBot="1" x14ac:dyDescent="0.3">
      <c r="A15" s="46" t="s">
        <v>225</v>
      </c>
      <c r="B15" s="83"/>
      <c r="C15" s="83"/>
      <c r="F15" s="1"/>
      <c r="G15" s="1"/>
    </row>
    <row r="16" spans="1:7" ht="15.75" thickBot="1" x14ac:dyDescent="0.3">
      <c r="A16" s="46" t="s">
        <v>226</v>
      </c>
      <c r="B16" s="83"/>
      <c r="C16" s="83"/>
      <c r="F16" s="1"/>
      <c r="G16" s="1"/>
    </row>
    <row r="17" spans="1:7" ht="15.75" thickBot="1" x14ac:dyDescent="0.3">
      <c r="A17" s="46" t="s">
        <v>227</v>
      </c>
      <c r="B17" s="83"/>
      <c r="C17" s="83"/>
      <c r="F17" s="1"/>
      <c r="G17" s="1"/>
    </row>
    <row r="18" spans="1:7" ht="15.75" thickBot="1" x14ac:dyDescent="0.3">
      <c r="A18" s="46" t="s">
        <v>228</v>
      </c>
      <c r="B18" s="83"/>
      <c r="C18" s="83"/>
      <c r="F18" s="1"/>
      <c r="G18" s="1"/>
    </row>
    <row r="19" spans="1:7" ht="15.75" thickBot="1" x14ac:dyDescent="0.3">
      <c r="A19" s="46" t="s">
        <v>229</v>
      </c>
      <c r="B19" s="83"/>
      <c r="C19" s="83"/>
      <c r="F19" s="1"/>
      <c r="G19" s="1"/>
    </row>
    <row r="20" spans="1:7" ht="15.75" thickBot="1" x14ac:dyDescent="0.3">
      <c r="A20" s="45" t="s">
        <v>230</v>
      </c>
      <c r="B20" s="43">
        <f>B21+B25+B26</f>
        <v>0</v>
      </c>
      <c r="C20" s="43">
        <f>C21+C25+C26</f>
        <v>0</v>
      </c>
      <c r="F20" s="1"/>
      <c r="G20" s="1"/>
    </row>
    <row r="21" spans="1:7" ht="15.75" thickBot="1" x14ac:dyDescent="0.3">
      <c r="A21" s="46" t="s">
        <v>231</v>
      </c>
      <c r="B21" s="43">
        <f>SUM(B22:B24)</f>
        <v>0</v>
      </c>
      <c r="C21" s="43">
        <f>SUM(C22:C24)</f>
        <v>0</v>
      </c>
      <c r="F21" s="1"/>
      <c r="G21" s="1"/>
    </row>
    <row r="22" spans="1:7" ht="15.75" thickBot="1" x14ac:dyDescent="0.3">
      <c r="A22" s="47" t="s">
        <v>232</v>
      </c>
      <c r="B22" s="83"/>
      <c r="C22" s="83"/>
      <c r="F22" s="1"/>
      <c r="G22" s="1"/>
    </row>
    <row r="23" spans="1:7" ht="15.75" thickBot="1" x14ac:dyDescent="0.3">
      <c r="A23" s="47" t="s">
        <v>233</v>
      </c>
      <c r="B23" s="83"/>
      <c r="C23" s="83"/>
      <c r="F23" s="1"/>
      <c r="G23" s="1"/>
    </row>
    <row r="24" spans="1:7" ht="15.75" thickBot="1" x14ac:dyDescent="0.3">
      <c r="A24" s="47" t="s">
        <v>234</v>
      </c>
      <c r="B24" s="83"/>
      <c r="C24" s="83"/>
      <c r="F24" s="1"/>
      <c r="G24" s="1"/>
    </row>
    <row r="25" spans="1:7" ht="15.75" thickBot="1" x14ac:dyDescent="0.3">
      <c r="A25" s="46" t="s">
        <v>235</v>
      </c>
      <c r="B25" s="83"/>
      <c r="C25" s="83"/>
      <c r="F25" s="1"/>
      <c r="G25" s="1"/>
    </row>
    <row r="26" spans="1:7" ht="15.75" thickBot="1" x14ac:dyDescent="0.3">
      <c r="A26" s="46" t="s">
        <v>236</v>
      </c>
      <c r="B26" s="83"/>
      <c r="C26" s="83"/>
      <c r="F26" s="1"/>
      <c r="G26" s="1"/>
    </row>
    <row r="27" spans="1:7" ht="15.75" thickBot="1" x14ac:dyDescent="0.3">
      <c r="A27" s="45" t="s">
        <v>237</v>
      </c>
      <c r="B27" s="83"/>
      <c r="C27" s="83"/>
      <c r="F27" s="1"/>
      <c r="G27" s="1"/>
    </row>
    <row r="28" spans="1:7" ht="15.75" thickBot="1" x14ac:dyDescent="0.3">
      <c r="A28" s="44" t="s">
        <v>238</v>
      </c>
      <c r="B28" s="43">
        <f>B29+B58+B62+B69</f>
        <v>0</v>
      </c>
      <c r="C28" s="43">
        <f>C29+C58+C62+C69</f>
        <v>0</v>
      </c>
      <c r="F28" s="1"/>
      <c r="G28" s="1"/>
    </row>
    <row r="29" spans="1:7" ht="15.75" thickBot="1" x14ac:dyDescent="0.3">
      <c r="A29" s="45" t="s">
        <v>239</v>
      </c>
      <c r="B29" s="43">
        <f>SUM(B30:B57)</f>
        <v>0</v>
      </c>
      <c r="C29" s="43">
        <f>SUM(C30:C57)</f>
        <v>0</v>
      </c>
      <c r="F29" s="1"/>
      <c r="G29" s="1"/>
    </row>
    <row r="30" spans="1:7" ht="15.75" thickBot="1" x14ac:dyDescent="0.3">
      <c r="A30" s="46" t="s">
        <v>240</v>
      </c>
      <c r="B30" s="83"/>
      <c r="C30" s="83"/>
      <c r="F30" s="1"/>
      <c r="G30" s="1"/>
    </row>
    <row r="31" spans="1:7" ht="15.75" thickBot="1" x14ac:dyDescent="0.3">
      <c r="A31" s="46" t="s">
        <v>241</v>
      </c>
      <c r="B31" s="83"/>
      <c r="C31" s="83"/>
      <c r="F31" s="1"/>
      <c r="G31" s="1"/>
    </row>
    <row r="32" spans="1:7" ht="15.75" thickBot="1" x14ac:dyDescent="0.3">
      <c r="A32" s="46" t="s">
        <v>242</v>
      </c>
      <c r="B32" s="83"/>
      <c r="C32" s="83"/>
      <c r="F32" s="1"/>
      <c r="G32" s="1"/>
    </row>
    <row r="33" spans="1:7" ht="15.75" thickBot="1" x14ac:dyDescent="0.3">
      <c r="A33" s="46" t="s">
        <v>243</v>
      </c>
      <c r="B33" s="83"/>
      <c r="C33" s="83"/>
      <c r="F33" s="1"/>
      <c r="G33" s="1"/>
    </row>
    <row r="34" spans="1:7" ht="15.75" thickBot="1" x14ac:dyDescent="0.3">
      <c r="A34" s="46" t="s">
        <v>244</v>
      </c>
      <c r="B34" s="83"/>
      <c r="C34" s="83"/>
      <c r="F34" s="1"/>
      <c r="G34" s="1"/>
    </row>
    <row r="35" spans="1:7" ht="15.75" thickBot="1" x14ac:dyDescent="0.3">
      <c r="A35" s="46" t="s">
        <v>245</v>
      </c>
      <c r="B35" s="83"/>
      <c r="C35" s="83"/>
      <c r="F35" s="1"/>
      <c r="G35" s="1"/>
    </row>
    <row r="36" spans="1:7" ht="15.75" thickBot="1" x14ac:dyDescent="0.3">
      <c r="A36" s="46" t="s">
        <v>246</v>
      </c>
      <c r="B36" s="83"/>
      <c r="C36" s="83"/>
      <c r="F36" s="1"/>
      <c r="G36" s="1"/>
    </row>
    <row r="37" spans="1:7" ht="15.75" thickBot="1" x14ac:dyDescent="0.3">
      <c r="A37" s="46" t="s">
        <v>247</v>
      </c>
      <c r="B37" s="83"/>
      <c r="C37" s="83"/>
      <c r="F37" s="1"/>
      <c r="G37" s="1"/>
    </row>
    <row r="38" spans="1:7" ht="15.75" thickBot="1" x14ac:dyDescent="0.3">
      <c r="A38" s="46" t="s">
        <v>248</v>
      </c>
      <c r="B38" s="83"/>
      <c r="C38" s="83"/>
      <c r="F38" s="1"/>
      <c r="G38" s="1"/>
    </row>
    <row r="39" spans="1:7" ht="15.75" thickBot="1" x14ac:dyDescent="0.3">
      <c r="A39" s="46" t="s">
        <v>249</v>
      </c>
      <c r="B39" s="83"/>
      <c r="C39" s="83"/>
      <c r="F39" s="1"/>
      <c r="G39" s="1"/>
    </row>
    <row r="40" spans="1:7" ht="15.75" thickBot="1" x14ac:dyDescent="0.3">
      <c r="A40" s="46" t="s">
        <v>250</v>
      </c>
      <c r="B40" s="83"/>
      <c r="C40" s="83"/>
      <c r="F40" s="1"/>
      <c r="G40" s="1"/>
    </row>
    <row r="41" spans="1:7" ht="15.75" thickBot="1" x14ac:dyDescent="0.3">
      <c r="A41" s="46" t="s">
        <v>251</v>
      </c>
      <c r="B41" s="83"/>
      <c r="C41" s="83"/>
      <c r="F41" s="1"/>
      <c r="G41" s="1"/>
    </row>
    <row r="42" spans="1:7" ht="15.75" thickBot="1" x14ac:dyDescent="0.3">
      <c r="A42" s="46" t="s">
        <v>252</v>
      </c>
      <c r="B42" s="83"/>
      <c r="C42" s="83"/>
      <c r="F42" s="1"/>
      <c r="G42" s="1"/>
    </row>
    <row r="43" spans="1:7" ht="15.75" thickBot="1" x14ac:dyDescent="0.3">
      <c r="A43" s="46" t="s">
        <v>253</v>
      </c>
      <c r="B43" s="83"/>
      <c r="C43" s="83"/>
      <c r="F43" s="1"/>
      <c r="G43" s="1"/>
    </row>
    <row r="44" spans="1:7" ht="15.75" thickBot="1" x14ac:dyDescent="0.3">
      <c r="A44" s="46" t="s">
        <v>254</v>
      </c>
      <c r="B44" s="83"/>
      <c r="C44" s="83"/>
      <c r="F44" s="1"/>
      <c r="G44" s="1"/>
    </row>
    <row r="45" spans="1:7" ht="15.75" thickBot="1" x14ac:dyDescent="0.3">
      <c r="A45" s="46" t="s">
        <v>255</v>
      </c>
      <c r="B45" s="83"/>
      <c r="C45" s="83"/>
      <c r="F45" s="1"/>
      <c r="G45" s="1"/>
    </row>
    <row r="46" spans="1:7" ht="15.75" thickBot="1" x14ac:dyDescent="0.3">
      <c r="A46" s="46" t="s">
        <v>256</v>
      </c>
      <c r="B46" s="83"/>
      <c r="C46" s="83"/>
      <c r="F46" s="1"/>
      <c r="G46" s="1"/>
    </row>
    <row r="47" spans="1:7" ht="15.75" thickBot="1" x14ac:dyDescent="0.3">
      <c r="A47" s="46" t="s">
        <v>257</v>
      </c>
      <c r="B47" s="83"/>
      <c r="C47" s="83"/>
      <c r="F47" s="1"/>
      <c r="G47" s="1"/>
    </row>
    <row r="48" spans="1:7" ht="15.75" thickBot="1" x14ac:dyDescent="0.3">
      <c r="A48" s="46" t="s">
        <v>258</v>
      </c>
      <c r="B48" s="83"/>
      <c r="C48" s="83"/>
      <c r="F48" s="1"/>
      <c r="G48" s="1"/>
    </row>
    <row r="49" spans="1:7" ht="15.75" thickBot="1" x14ac:dyDescent="0.3">
      <c r="A49" s="46" t="s">
        <v>259</v>
      </c>
      <c r="B49" s="83"/>
      <c r="C49" s="83"/>
      <c r="F49" s="1"/>
      <c r="G49" s="1"/>
    </row>
    <row r="50" spans="1:7" ht="15.75" thickBot="1" x14ac:dyDescent="0.3">
      <c r="A50" s="46" t="s">
        <v>260</v>
      </c>
      <c r="B50" s="83"/>
      <c r="C50" s="83"/>
      <c r="F50" s="1"/>
      <c r="G50" s="1"/>
    </row>
    <row r="51" spans="1:7" ht="15.75" thickBot="1" x14ac:dyDescent="0.3">
      <c r="A51" s="46" t="s">
        <v>261</v>
      </c>
      <c r="B51" s="83"/>
      <c r="C51" s="83"/>
      <c r="F51" s="1"/>
      <c r="G51" s="1"/>
    </row>
    <row r="52" spans="1:7" ht="15.75" thickBot="1" x14ac:dyDescent="0.3">
      <c r="A52" s="46" t="s">
        <v>262</v>
      </c>
      <c r="B52" s="83"/>
      <c r="C52" s="83"/>
      <c r="F52" s="1"/>
      <c r="G52" s="1"/>
    </row>
    <row r="53" spans="1:7" ht="15.75" thickBot="1" x14ac:dyDescent="0.3">
      <c r="A53" s="46" t="s">
        <v>263</v>
      </c>
      <c r="B53" s="83"/>
      <c r="C53" s="83"/>
      <c r="F53" s="1"/>
      <c r="G53" s="1"/>
    </row>
    <row r="54" spans="1:7" ht="15.75" thickBot="1" x14ac:dyDescent="0.3">
      <c r="A54" s="46" t="s">
        <v>264</v>
      </c>
      <c r="B54" s="83"/>
      <c r="C54" s="83"/>
      <c r="F54" s="1"/>
      <c r="G54" s="1"/>
    </row>
    <row r="55" spans="1:7" ht="15.75" thickBot="1" x14ac:dyDescent="0.3">
      <c r="A55" s="46" t="s">
        <v>265</v>
      </c>
      <c r="B55" s="83"/>
      <c r="C55" s="83"/>
      <c r="F55" s="1"/>
      <c r="G55" s="1"/>
    </row>
    <row r="56" spans="1:7" ht="15.75" thickBot="1" x14ac:dyDescent="0.3">
      <c r="A56" s="46" t="s">
        <v>266</v>
      </c>
      <c r="B56" s="83"/>
      <c r="C56" s="83"/>
      <c r="F56" s="1"/>
      <c r="G56" s="1"/>
    </row>
    <row r="57" spans="1:7" ht="15.75" thickBot="1" x14ac:dyDescent="0.3">
      <c r="A57" s="46" t="s">
        <v>267</v>
      </c>
      <c r="B57" s="83"/>
      <c r="C57" s="83"/>
      <c r="F57" s="1"/>
      <c r="G57" s="1"/>
    </row>
    <row r="58" spans="1:7" ht="15.75" thickBot="1" x14ac:dyDescent="0.3">
      <c r="A58" s="45" t="s">
        <v>268</v>
      </c>
      <c r="B58" s="43">
        <f>SUM(B59:B61)</f>
        <v>0</v>
      </c>
      <c r="C58" s="43">
        <f>SUM(C59:C61)</f>
        <v>0</v>
      </c>
      <c r="F58" s="1"/>
      <c r="G58" s="1"/>
    </row>
    <row r="59" spans="1:7" ht="15.75" thickBot="1" x14ac:dyDescent="0.3">
      <c r="A59" s="46" t="s">
        <v>269</v>
      </c>
      <c r="B59" s="83"/>
      <c r="C59" s="83"/>
      <c r="F59" s="1"/>
      <c r="G59" s="1"/>
    </row>
    <row r="60" spans="1:7" ht="15.75" thickBot="1" x14ac:dyDescent="0.3">
      <c r="A60" s="46" t="s">
        <v>270</v>
      </c>
      <c r="B60" s="83"/>
      <c r="C60" s="83"/>
      <c r="F60" s="1"/>
      <c r="G60" s="1"/>
    </row>
    <row r="61" spans="1:7" ht="15.75" thickBot="1" x14ac:dyDescent="0.3">
      <c r="A61" s="46" t="s">
        <v>271</v>
      </c>
      <c r="B61" s="83"/>
      <c r="C61" s="83"/>
      <c r="F61" s="1"/>
      <c r="G61" s="1"/>
    </row>
    <row r="62" spans="1:7" ht="15.75" thickBot="1" x14ac:dyDescent="0.3">
      <c r="A62" s="45" t="s">
        <v>272</v>
      </c>
      <c r="B62" s="43">
        <f>B63+B67+B68</f>
        <v>0</v>
      </c>
      <c r="C62" s="43">
        <f>C63+C67+C68</f>
        <v>0</v>
      </c>
      <c r="F62" s="1"/>
      <c r="G62" s="1"/>
    </row>
    <row r="63" spans="1:7" ht="15.75" thickBot="1" x14ac:dyDescent="0.3">
      <c r="A63" s="46" t="s">
        <v>231</v>
      </c>
      <c r="B63" s="43">
        <f>SUM(B64:B66)</f>
        <v>0</v>
      </c>
      <c r="C63" s="43">
        <f>SUM(C64:C66)</f>
        <v>0</v>
      </c>
      <c r="F63" s="1"/>
      <c r="G63" s="1"/>
    </row>
    <row r="64" spans="1:7" ht="15.75" thickBot="1" x14ac:dyDescent="0.3">
      <c r="A64" s="47" t="s">
        <v>273</v>
      </c>
      <c r="B64" s="83"/>
      <c r="C64" s="83"/>
      <c r="F64" s="1"/>
      <c r="G64" s="1"/>
    </row>
    <row r="65" spans="1:7" ht="15.75" thickBot="1" x14ac:dyDescent="0.3">
      <c r="A65" s="47" t="s">
        <v>274</v>
      </c>
      <c r="B65" s="83"/>
      <c r="C65" s="83"/>
      <c r="F65" s="1"/>
      <c r="G65" s="1"/>
    </row>
    <row r="66" spans="1:7" ht="15.75" thickBot="1" x14ac:dyDescent="0.3">
      <c r="A66" s="47" t="s">
        <v>275</v>
      </c>
      <c r="B66" s="83"/>
      <c r="C66" s="83"/>
      <c r="F66" s="1"/>
      <c r="G66" s="1"/>
    </row>
    <row r="67" spans="1:7" ht="15.75" thickBot="1" x14ac:dyDescent="0.3">
      <c r="A67" s="46" t="s">
        <v>235</v>
      </c>
      <c r="B67" s="83"/>
      <c r="C67" s="83"/>
      <c r="F67" s="1"/>
      <c r="G67" s="1"/>
    </row>
    <row r="68" spans="1:7" ht="15.75" thickBot="1" x14ac:dyDescent="0.3">
      <c r="A68" s="46" t="s">
        <v>276</v>
      </c>
      <c r="B68" s="83"/>
      <c r="C68" s="83"/>
      <c r="F68" s="1"/>
      <c r="G68" s="1"/>
    </row>
    <row r="69" spans="1:7" ht="15.75" thickBot="1" x14ac:dyDescent="0.3">
      <c r="A69" s="45" t="s">
        <v>277</v>
      </c>
      <c r="B69" s="83"/>
      <c r="C69" s="83"/>
      <c r="F69" s="1"/>
      <c r="G69" s="1"/>
    </row>
    <row r="70" spans="1:7" ht="15.75" thickBot="1" x14ac:dyDescent="0.3">
      <c r="A70" s="42" t="s">
        <v>278</v>
      </c>
      <c r="B70" s="43">
        <f>B71-B75</f>
        <v>0</v>
      </c>
      <c r="C70" s="43">
        <f>C71-C75</f>
        <v>0</v>
      </c>
      <c r="F70" s="1"/>
      <c r="G70" s="1"/>
    </row>
    <row r="71" spans="1:7" ht="15.75" thickBot="1" x14ac:dyDescent="0.3">
      <c r="A71" s="44" t="s">
        <v>220</v>
      </c>
      <c r="B71" s="43">
        <f>SUM(B72:B74)</f>
        <v>0</v>
      </c>
      <c r="C71" s="43">
        <f>SUM(C72:C74)</f>
        <v>0</v>
      </c>
      <c r="F71" s="1"/>
      <c r="G71" s="1"/>
    </row>
    <row r="72" spans="1:7" ht="15.75" thickBot="1" x14ac:dyDescent="0.3">
      <c r="A72" s="45" t="s">
        <v>279</v>
      </c>
      <c r="B72" s="83"/>
      <c r="C72" s="83"/>
      <c r="F72" s="1"/>
      <c r="G72" s="1"/>
    </row>
    <row r="73" spans="1:7" ht="15.75" thickBot="1" x14ac:dyDescent="0.3">
      <c r="A73" s="45" t="s">
        <v>280</v>
      </c>
      <c r="B73" s="83"/>
      <c r="C73" s="83"/>
      <c r="F73" s="1"/>
      <c r="G73" s="1"/>
    </row>
    <row r="74" spans="1:7" ht="15.75" thickBot="1" x14ac:dyDescent="0.3">
      <c r="A74" s="45" t="s">
        <v>281</v>
      </c>
      <c r="B74" s="83"/>
      <c r="C74" s="83"/>
      <c r="F74" s="1"/>
      <c r="G74" s="1"/>
    </row>
    <row r="75" spans="1:7" ht="15.75" thickBot="1" x14ac:dyDescent="0.3">
      <c r="A75" s="44" t="s">
        <v>238</v>
      </c>
      <c r="B75" s="43">
        <f>SUM(B76:B78)</f>
        <v>0</v>
      </c>
      <c r="C75" s="43">
        <f>SUM(C76:C78)</f>
        <v>0</v>
      </c>
      <c r="F75" s="1"/>
      <c r="G75" s="1"/>
    </row>
    <row r="76" spans="1:7" ht="15.75" thickBot="1" x14ac:dyDescent="0.3">
      <c r="A76" s="45" t="s">
        <v>282</v>
      </c>
      <c r="B76" s="83"/>
      <c r="C76" s="83"/>
      <c r="F76" s="1"/>
      <c r="G76" s="1"/>
    </row>
    <row r="77" spans="1:7" ht="15.75" thickBot="1" x14ac:dyDescent="0.3">
      <c r="A77" s="45" t="s">
        <v>283</v>
      </c>
      <c r="B77" s="83"/>
      <c r="C77" s="83"/>
      <c r="F77" s="1"/>
      <c r="G77" s="1"/>
    </row>
    <row r="78" spans="1:7" ht="15.75" thickBot="1" x14ac:dyDescent="0.3">
      <c r="A78" s="45" t="s">
        <v>284</v>
      </c>
      <c r="B78" s="83"/>
      <c r="C78" s="83"/>
      <c r="F78" s="1"/>
      <c r="G78" s="1"/>
    </row>
    <row r="79" spans="1:7" ht="15.75" thickBot="1" x14ac:dyDescent="0.3">
      <c r="A79" s="42" t="s">
        <v>285</v>
      </c>
      <c r="B79" s="43">
        <f>B80-B85</f>
        <v>0</v>
      </c>
      <c r="C79" s="43">
        <f>C80-C85</f>
        <v>0</v>
      </c>
      <c r="F79" s="1"/>
      <c r="G79" s="1"/>
    </row>
    <row r="80" spans="1:7" ht="15.75" thickBot="1" x14ac:dyDescent="0.3">
      <c r="A80" s="44" t="s">
        <v>220</v>
      </c>
      <c r="B80" s="43">
        <f>SUM(B81:B84)</f>
        <v>0</v>
      </c>
      <c r="C80" s="43">
        <f>SUM(C81:C84)</f>
        <v>0</v>
      </c>
      <c r="F80" s="1"/>
      <c r="G80" s="1"/>
    </row>
    <row r="81" spans="1:7" ht="15.75" thickBot="1" x14ac:dyDescent="0.3">
      <c r="A81" s="45" t="s">
        <v>286</v>
      </c>
      <c r="B81" s="83"/>
      <c r="C81" s="83"/>
      <c r="F81" s="1"/>
      <c r="G81" s="1"/>
    </row>
    <row r="82" spans="1:7" ht="15.75" thickBot="1" x14ac:dyDescent="0.3">
      <c r="A82" s="45" t="s">
        <v>287</v>
      </c>
      <c r="B82" s="83"/>
      <c r="C82" s="83"/>
      <c r="F82" s="1"/>
      <c r="G82" s="1"/>
    </row>
    <row r="83" spans="1:7" ht="15.75" thickBot="1" x14ac:dyDescent="0.3">
      <c r="A83" s="45" t="s">
        <v>288</v>
      </c>
      <c r="B83" s="83"/>
      <c r="C83" s="83"/>
      <c r="F83" s="1"/>
      <c r="G83" s="1"/>
    </row>
    <row r="84" spans="1:7" ht="15.75" thickBot="1" x14ac:dyDescent="0.3">
      <c r="A84" s="45" t="s">
        <v>289</v>
      </c>
      <c r="B84" s="83"/>
      <c r="C84" s="83"/>
      <c r="F84" s="1"/>
      <c r="G84" s="1"/>
    </row>
    <row r="85" spans="1:7" ht="15.75" thickBot="1" x14ac:dyDescent="0.3">
      <c r="A85" s="44" t="s">
        <v>238</v>
      </c>
      <c r="B85" s="43">
        <f>SUM(B86:B87)</f>
        <v>0</v>
      </c>
      <c r="C85" s="43">
        <f>SUM(C86:C87)</f>
        <v>0</v>
      </c>
      <c r="F85" s="1"/>
      <c r="G85" s="1"/>
    </row>
    <row r="86" spans="1:7" ht="15.75" thickBot="1" x14ac:dyDescent="0.3">
      <c r="A86" s="45" t="s">
        <v>290</v>
      </c>
      <c r="B86" s="83"/>
      <c r="C86" s="83"/>
      <c r="F86" s="1"/>
      <c r="G86" s="1"/>
    </row>
    <row r="87" spans="1:7" ht="15.75" thickBot="1" x14ac:dyDescent="0.3">
      <c r="A87" s="45" t="s">
        <v>291</v>
      </c>
      <c r="B87" s="83"/>
      <c r="C87" s="83"/>
      <c r="F87" s="1"/>
      <c r="G87" s="1"/>
    </row>
    <row r="88" spans="1:7" ht="15.75" thickBot="1" x14ac:dyDescent="0.3">
      <c r="A88" s="48" t="s">
        <v>292</v>
      </c>
      <c r="B88" s="43">
        <f>B9+B70+B79</f>
        <v>0</v>
      </c>
      <c r="C88" s="43">
        <f>C9+C70+C79</f>
        <v>0</v>
      </c>
      <c r="F88" s="1"/>
      <c r="G88" s="1"/>
    </row>
    <row r="89" spans="1:7" ht="15.75" thickBot="1" x14ac:dyDescent="0.3">
      <c r="A89" s="49" t="s">
        <v>293</v>
      </c>
      <c r="B89" s="84"/>
      <c r="C89" s="83"/>
      <c r="F89" s="1"/>
      <c r="G89" s="1"/>
    </row>
    <row r="90" spans="1:7" ht="15.75" thickBot="1" x14ac:dyDescent="0.3">
      <c r="A90" s="49" t="s">
        <v>294</v>
      </c>
      <c r="B90" s="84"/>
      <c r="C90" s="83"/>
      <c r="F90" s="1"/>
      <c r="G90" s="1"/>
    </row>
    <row r="91" spans="1:7" x14ac:dyDescent="0.25">
      <c r="B91" s="18"/>
      <c r="C91" s="18"/>
      <c r="F91" s="1"/>
      <c r="G91" s="1"/>
    </row>
  </sheetData>
  <sheetProtection sheet="1" objects="1" scenarios="1" formatCells="0" formatColumns="0" formatRows="0" insertColumns="0" insertRows="0" deleteColumns="0" deleteRows="0"/>
  <mergeCells count="4">
    <mergeCell ref="A1:C1"/>
    <mergeCell ref="A2:C2"/>
    <mergeCell ref="A3:C3"/>
    <mergeCell ref="A5:C5"/>
  </mergeCells>
  <pageMargins left="0.25" right="0.25" top="0.75" bottom="0.75" header="0.3" footer="0.3"/>
  <pageSetup paperSize="9" scale="69" orientation="portrait" r:id="rId1"/>
  <rowBreaks count="1" manualBreakCount="1">
    <brk id="69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pane ySplit="1" topLeftCell="A2" activePane="bottomLeft" state="frozen"/>
      <selection activeCell="A85" sqref="A85"/>
      <selection pane="bottomLeft" activeCell="A85" sqref="A85"/>
    </sheetView>
  </sheetViews>
  <sheetFormatPr defaultRowHeight="15" x14ac:dyDescent="0.25"/>
  <cols>
    <col min="1" max="1" width="112.5703125" bestFit="1" customWidth="1"/>
    <col min="2" max="3" width="14.28515625" style="51" bestFit="1" customWidth="1"/>
    <col min="4" max="4" width="14" style="51" bestFit="1" customWidth="1"/>
  </cols>
  <sheetData>
    <row r="1" spans="1:4" x14ac:dyDescent="0.25">
      <c r="A1" s="50" t="s">
        <v>371</v>
      </c>
      <c r="B1" s="50" t="s">
        <v>372</v>
      </c>
      <c r="C1" s="50" t="s">
        <v>373</v>
      </c>
      <c r="D1" s="50" t="s">
        <v>374</v>
      </c>
    </row>
    <row r="2" spans="1:4" x14ac:dyDescent="0.25">
      <c r="A2" t="s">
        <v>375</v>
      </c>
      <c r="B2" s="51">
        <f>DFC!B89</f>
        <v>0</v>
      </c>
      <c r="C2" s="51">
        <f>DFC!C90</f>
        <v>0</v>
      </c>
      <c r="D2" s="51">
        <f>B2-C2</f>
        <v>0</v>
      </c>
    </row>
    <row r="3" spans="1:4" x14ac:dyDescent="0.25">
      <c r="A3" t="s">
        <v>376</v>
      </c>
      <c r="B3" s="51">
        <f>DFC!B89</f>
        <v>0</v>
      </c>
      <c r="C3" s="51">
        <f>BF!B30</f>
        <v>0</v>
      </c>
      <c r="D3" s="51">
        <f t="shared" ref="D3:D19" si="0">B3-C3</f>
        <v>0</v>
      </c>
    </row>
    <row r="4" spans="1:4" x14ac:dyDescent="0.25">
      <c r="A4" t="s">
        <v>377</v>
      </c>
      <c r="B4" s="51">
        <f>DFC!B90</f>
        <v>0</v>
      </c>
      <c r="C4" s="51">
        <f>BF!F30</f>
        <v>0</v>
      </c>
      <c r="D4" s="51">
        <f t="shared" si="0"/>
        <v>0</v>
      </c>
    </row>
    <row r="5" spans="1:4" x14ac:dyDescent="0.25">
      <c r="A5" t="s">
        <v>378</v>
      </c>
      <c r="B5" s="51">
        <f>DFC!B90</f>
        <v>0</v>
      </c>
      <c r="C5" s="51">
        <f>DFC!B89+DFC!B10-DFC!B28+DFC!B71-DFC!B75+DFC!B80-DFC!B85</f>
        <v>0</v>
      </c>
      <c r="D5" s="51">
        <f t="shared" si="0"/>
        <v>0</v>
      </c>
    </row>
    <row r="6" spans="1:4" x14ac:dyDescent="0.25">
      <c r="A6" t="s">
        <v>379</v>
      </c>
      <c r="B6" s="51">
        <f>DFC!B90</f>
        <v>0</v>
      </c>
      <c r="C6" s="52">
        <f>BP!B12+BP!B14+BP!B20</f>
        <v>0</v>
      </c>
      <c r="D6" s="51">
        <f t="shared" si="0"/>
        <v>0</v>
      </c>
    </row>
    <row r="7" spans="1:4" x14ac:dyDescent="0.25">
      <c r="A7" t="s">
        <v>380</v>
      </c>
      <c r="B7" s="51">
        <f>DFC!B89</f>
        <v>0</v>
      </c>
      <c r="C7" s="52">
        <f>BP!C12+BP!C14+BP!C20</f>
        <v>0</v>
      </c>
      <c r="D7" s="51">
        <f t="shared" si="0"/>
        <v>0</v>
      </c>
    </row>
    <row r="8" spans="1:4" x14ac:dyDescent="0.25">
      <c r="A8" t="s">
        <v>397</v>
      </c>
      <c r="B8" s="51">
        <f>DVP!B9-DVP!B52+BP!C51</f>
        <v>0</v>
      </c>
      <c r="C8" s="51">
        <f>BP!B51</f>
        <v>0</v>
      </c>
      <c r="D8" s="51">
        <f t="shared" si="0"/>
        <v>0</v>
      </c>
    </row>
    <row r="9" spans="1:4" x14ac:dyDescent="0.25">
      <c r="A9" t="s">
        <v>381</v>
      </c>
      <c r="B9" s="51">
        <f>BP!B57-BP!B60</f>
        <v>0</v>
      </c>
      <c r="C9" s="51">
        <f>BP!B114</f>
        <v>0</v>
      </c>
      <c r="D9" s="51">
        <f t="shared" si="0"/>
        <v>0</v>
      </c>
    </row>
    <row r="10" spans="1:4" x14ac:dyDescent="0.25">
      <c r="A10" t="s">
        <v>382</v>
      </c>
      <c r="B10" s="51">
        <f>BP!B10</f>
        <v>0</v>
      </c>
      <c r="C10" s="51">
        <f>BP!B27</f>
        <v>0</v>
      </c>
      <c r="D10" s="51">
        <f t="shared" si="0"/>
        <v>0</v>
      </c>
    </row>
    <row r="11" spans="1:4" x14ac:dyDescent="0.25">
      <c r="A11" t="s">
        <v>383</v>
      </c>
      <c r="B11" s="51">
        <f>BP!C10</f>
        <v>0</v>
      </c>
      <c r="C11" s="51">
        <f>BP!C27</f>
        <v>0</v>
      </c>
      <c r="D11" s="51">
        <f t="shared" si="0"/>
        <v>0</v>
      </c>
    </row>
    <row r="12" spans="1:4" x14ac:dyDescent="0.25">
      <c r="A12" t="s">
        <v>384</v>
      </c>
      <c r="B12" s="51">
        <f>BP!B10</f>
        <v>0</v>
      </c>
      <c r="C12" s="51">
        <f>BP!B56</f>
        <v>0</v>
      </c>
      <c r="D12" s="51">
        <f t="shared" si="0"/>
        <v>0</v>
      </c>
    </row>
    <row r="13" spans="1:4" x14ac:dyDescent="0.25">
      <c r="A13" t="s">
        <v>385</v>
      </c>
      <c r="B13" s="51">
        <f>BP!B28+BP!B36</f>
        <v>0</v>
      </c>
      <c r="C13" s="51">
        <f>BP!B60+BP!B61</f>
        <v>0</v>
      </c>
      <c r="D13" s="51">
        <f t="shared" si="0"/>
        <v>0</v>
      </c>
    </row>
    <row r="14" spans="1:4" x14ac:dyDescent="0.25">
      <c r="A14" t="s">
        <v>386</v>
      </c>
      <c r="B14" s="51">
        <f>BF!B11</f>
        <v>0</v>
      </c>
      <c r="C14" s="51">
        <f>BO!D34</f>
        <v>0</v>
      </c>
      <c r="D14" s="51">
        <f t="shared" si="0"/>
        <v>0</v>
      </c>
    </row>
    <row r="15" spans="1:4" x14ac:dyDescent="0.25">
      <c r="A15" t="s">
        <v>387</v>
      </c>
      <c r="B15" s="51">
        <f>BF!F11</f>
        <v>0</v>
      </c>
      <c r="C15" s="51">
        <f>BO!D60</f>
        <v>0</v>
      </c>
      <c r="D15" s="51">
        <f t="shared" si="0"/>
        <v>0</v>
      </c>
    </row>
    <row r="16" spans="1:4" x14ac:dyDescent="0.25">
      <c r="A16" t="s">
        <v>388</v>
      </c>
      <c r="B16" s="51">
        <f>BF!F26</f>
        <v>0</v>
      </c>
      <c r="C16" s="51">
        <f>BO!E75</f>
        <v>0</v>
      </c>
      <c r="D16" s="51">
        <f t="shared" si="0"/>
        <v>0</v>
      </c>
    </row>
    <row r="17" spans="1:4" x14ac:dyDescent="0.25">
      <c r="A17" t="s">
        <v>389</v>
      </c>
      <c r="B17" s="51">
        <f>BF!F27</f>
        <v>0</v>
      </c>
      <c r="C17" s="51">
        <f>BO!D88</f>
        <v>0</v>
      </c>
      <c r="D17" s="51">
        <f t="shared" si="0"/>
        <v>0</v>
      </c>
    </row>
    <row r="18" spans="1:4" x14ac:dyDescent="0.25">
      <c r="A18" t="s">
        <v>390</v>
      </c>
      <c r="B18" s="51">
        <f>BF!F30</f>
        <v>0</v>
      </c>
      <c r="C18" s="51">
        <f>BF!B30+BF!B11+BF!B20+BF!B25-BF!F11-BF!F20-BF!F25</f>
        <v>0</v>
      </c>
      <c r="D18" s="51">
        <f t="shared" si="0"/>
        <v>0</v>
      </c>
    </row>
    <row r="19" spans="1:4" x14ac:dyDescent="0.25">
      <c r="A19" t="s">
        <v>391</v>
      </c>
      <c r="B19" s="51">
        <f>BF!B34</f>
        <v>0</v>
      </c>
      <c r="C19" s="51">
        <f>BF!F34</f>
        <v>0</v>
      </c>
      <c r="D19" s="51">
        <f t="shared" si="0"/>
        <v>0</v>
      </c>
    </row>
  </sheetData>
  <sheetProtection sheet="1" objects="1" scenarios="1"/>
  <pageMargins left="0.511811024" right="0.511811024" top="0.78740157499999996" bottom="0.78740157499999996" header="0.31496062000000002" footer="0.31496062000000002"/>
  <pageSetup paperSize="9" orientation="portrait" r:id="rId1"/>
  <ignoredErrors>
    <ignoredError sqref="B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BO</vt:lpstr>
      <vt:lpstr>BF</vt:lpstr>
      <vt:lpstr>BP</vt:lpstr>
      <vt:lpstr>DVP</vt:lpstr>
      <vt:lpstr>DFC</vt:lpstr>
      <vt:lpstr>Consistência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Everton</dc:creator>
  <cp:lastModifiedBy>Everton</cp:lastModifiedBy>
  <cp:lastPrinted>2016-03-28T17:05:55Z</cp:lastPrinted>
  <dcterms:created xsi:type="dcterms:W3CDTF">2016-03-23T19:22:19Z</dcterms:created>
  <dcterms:modified xsi:type="dcterms:W3CDTF">2016-03-31T14:04:01Z</dcterms:modified>
</cp:coreProperties>
</file>