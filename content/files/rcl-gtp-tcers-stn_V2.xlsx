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89" firstSheet="0" activeTab="2"/>
  </bookViews>
  <sheets>
    <sheet name="Instruções" sheetId="1" state="visible" r:id="rId2"/>
    <sheet name="TCERS" sheetId="2" state="visible" r:id="rId3"/>
    <sheet name="STN" sheetId="3" state="visible" r:id="rId4"/>
  </sheets>
  <definedNames>
    <definedName function="false" hidden="false" localSheetId="1" name="_ftn1" vbProcedure="false">TCERS!$A$37</definedName>
    <definedName function="false" hidden="false" localSheetId="1" name="_ftnref1" vbProcedure="false">TCERS!$A$10</definedName>
    <definedName function="false" hidden="false" localSheetId="2" name="_ftn1" vbProcedure="false">stn #REF!</definedName>
    <definedName function="false" hidden="false" localSheetId="2" name="_ftnref1" vbProcedure="false">STN!$A$10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<sst xmlns="http://schemas.openxmlformats.org/spreadsheetml/2006/main" count="167" uniqueCount="148">
  <si>
    <t xml:space="preserve">Instruções de Uso</t>
  </si>
  <si>
    <t xml:space="preserve">Para acrescentar um mês, copiar toda a última coluna da direita e escluir os valores das células da nova coluna que não estão com fundo cinza claro.</t>
  </si>
  <si>
    <t xml:space="preserve">As células com fundo cinza claro possuem fórmulas. Altere-as se souber o que estiver fazendo.</t>
  </si>
  <si>
    <t xml:space="preserve">Preencha primeiro a guia TCERS pois a guia STN busca alguns valores de lá (que estão em células fundo cinza claro).</t>
  </si>
  <si>
    <t xml:space="preserve">Índice de Despesa total com Pessoal (metodologia do TCE/RS - IN 18/2015)</t>
  </si>
  <si>
    <t xml:space="preserve">Item</t>
  </si>
  <si>
    <t xml:space="preserve">DTP/RCL</t>
  </si>
  <si>
    <t xml:space="preserve">Despesa Total com Pessoal (últimos 12 meses)</t>
  </si>
  <si>
    <t xml:space="preserve">Receita Corrente Líquida (últimos 12 meses)</t>
  </si>
  <si>
    <t xml:space="preserve">DTP</t>
  </si>
  <si>
    <t xml:space="preserve">(1 - 2 - 3 + 4)</t>
  </si>
  <si>
    <t xml:space="preserve">1 - PESSOAL E ENCARGOS SOCIAIS</t>
  </si>
  <si>
    <t xml:space="preserve">3.1.0.0.00.00.00.00.00</t>
  </si>
  <si>
    <t xml:space="preserve">2 - NATUREZAS DE DESPESA</t>
  </si>
  <si>
    <t xml:space="preserve">Aposentadorias do RPPS, Reserva Remunerada e Reformas dos Militares (Fonte 0050  RPPS)</t>
  </si>
  <si>
    <t xml:space="preserve">3.1.9.0.01.00.00.00.00</t>
  </si>
  <si>
    <t xml:space="preserve">Pensões do RPPS e do Militar</t>
  </si>
  <si>
    <t xml:space="preserve">3.1.9.0.03.00.00.00.00</t>
  </si>
  <si>
    <t xml:space="preserve">Outros Benefícios Previdenciários – Pessoal Ativo  (Fonte 0050  RPPS)</t>
  </si>
  <si>
    <t xml:space="preserve">3.1.9.0.05.00.01.00.00</t>
  </si>
  <si>
    <t xml:space="preserve">Outros Benefícios Previdenciários – Pessoal Inativo  (Fonte 0050  RPPS)</t>
  </si>
  <si>
    <t xml:space="preserve">3.1.9.0.05.00.02.00.00</t>
  </si>
  <si>
    <t xml:space="preserve">Outros Benefícios Previdenciários – Pensionistas</t>
  </si>
  <si>
    <t xml:space="preserve">3.1.9.0.05.00.03.00.00</t>
  </si>
  <si>
    <t xml:space="preserve">Outros Benefícios Assistenciais do Servidor e do Militar</t>
  </si>
  <si>
    <t xml:space="preserve">3.1.9.0.08.00.00.00.00</t>
  </si>
  <si>
    <t xml:space="preserve">Abono de Permanência</t>
  </si>
  <si>
    <t xml:space="preserve">3.1.9.0.11.07.00.00.00</t>
  </si>
  <si>
    <t xml:space="preserve">Licença Prêmio Indenizada</t>
  </si>
  <si>
    <t xml:space="preserve">3.1.9.0.11.48.00.00.00</t>
  </si>
  <si>
    <t xml:space="preserve">Representação Mensal</t>
  </si>
  <si>
    <t xml:space="preserve">3.1.9.0.11.75.00.00.00</t>
  </si>
  <si>
    <t xml:space="preserve">INSS Sobre Sessão Extraordinária - Agentes Políticos</t>
  </si>
  <si>
    <t xml:space="preserve">3.1.9.0.13.02.04.00.00</t>
  </si>
  <si>
    <t xml:space="preserve">INSS Sobre Convocação Extraordinária - Agentes Políticos</t>
  </si>
  <si>
    <t xml:space="preserve">3.1.9.0.13.02.05.00.00</t>
  </si>
  <si>
    <t xml:space="preserve">Convocação Extraordinária</t>
  </si>
  <si>
    <t xml:space="preserve">3.1.9.0.16.04.00.00.00</t>
  </si>
  <si>
    <t xml:space="preserve">Ajuda de Custo</t>
  </si>
  <si>
    <t xml:space="preserve">3.1.9.0.16.99.01.00.00</t>
  </si>
  <si>
    <t xml:space="preserve">Remoções</t>
  </si>
  <si>
    <t xml:space="preserve">3.1.9.0.16.99.02.00.00</t>
  </si>
  <si>
    <t xml:space="preserve">Sessões Extraordinárias</t>
  </si>
  <si>
    <t xml:space="preserve">3.1.9.0.16.99.03.00.00</t>
  </si>
  <si>
    <t xml:space="preserve">Obrigações Tributárias e Contributivas</t>
  </si>
  <si>
    <t xml:space="preserve">3.1.9.0.47.00.00.00.00</t>
  </si>
  <si>
    <t xml:space="preserve">Precatórios - Pensionista Civil</t>
  </si>
  <si>
    <t xml:space="preserve">3.1.9.0.91.36.00.00.00</t>
  </si>
  <si>
    <t xml:space="preserve">Pensionista Civil</t>
  </si>
  <si>
    <t xml:space="preserve">3.1.9.0.92.12.00.00.00</t>
  </si>
  <si>
    <t xml:space="preserve">Gratificação por Tempo de Serviço - Anuênio - Pensionista Civil</t>
  </si>
  <si>
    <t xml:space="preserve">3.1.9.0.92.25.00.00.00</t>
  </si>
  <si>
    <t xml:space="preserve">Indenizações e Restituições Trabalhistas</t>
  </si>
  <si>
    <t xml:space="preserve">3.1.9.0.94.00.00.00.00</t>
  </si>
  <si>
    <t xml:space="preserve">Contribuições Patronais para o RPPS – Pensionista</t>
  </si>
  <si>
    <t xml:space="preserve">3.1.9.1.13.03.03.00.00</t>
  </si>
  <si>
    <t xml:space="preserve">Plano de Seguridade Social do Servidor - Pessoal Ativo </t>
  </si>
  <si>
    <t xml:space="preserve">3.1.9.1.13.08.00.00.00</t>
  </si>
  <si>
    <t xml:space="preserve">Plano de Seguridade Social do Servidor - Pessoal Inativo </t>
  </si>
  <si>
    <t xml:space="preserve">3.1.9.1.13.10.00.00.00</t>
  </si>
  <si>
    <t xml:space="preserve">Plano de Seguridade Social do Pensionista</t>
  </si>
  <si>
    <t xml:space="preserve">3.1.9.1.13.12.00.00.00</t>
  </si>
  <si>
    <t xml:space="preserve">Amortização do Passivo Atuarial com RPPS - Alíquota Suplementar</t>
  </si>
  <si>
    <t xml:space="preserve">3.1.9.1.13.99.01.00.00</t>
  </si>
  <si>
    <t xml:space="preserve">3 - NATUREZAS DE RECEITA</t>
  </si>
  <si>
    <t xml:space="preserve">(-) IRRF Sobre o Rendimento do Trabalho – Ativos / Inativos do Poder Executivo / Indiretas</t>
  </si>
  <si>
    <t xml:space="preserve">(1.1.1.2.04.31.01.00.00)</t>
  </si>
  <si>
    <t xml:space="preserve">(-) Multas e Juros de Mora do IRRF</t>
  </si>
  <si>
    <t xml:space="preserve">(1.9.1.1.02.03.00.00.00)</t>
  </si>
  <si>
    <t xml:space="preserve">(-) Multas e Juros de Mora da Dívida Ativa do IRRF</t>
  </si>
  <si>
    <t xml:space="preserve">(1.9.1.3.02.03.00.00.00)</t>
  </si>
  <si>
    <t xml:space="preserve">(-) Receita da Dívida Ativa do IRRF</t>
  </si>
  <si>
    <t xml:space="preserve">(1.9.3.1.01.03.00.00.00)</t>
  </si>
  <si>
    <t xml:space="preserve">4 - CONTAS PATRIMONIAIS</t>
  </si>
  <si>
    <t xml:space="preserve">Recursos para Cobertura de Insuficiências Financeiras</t>
  </si>
  <si>
    <t xml:space="preserve">3.5.1.3.2.01.01.00.00.00</t>
  </si>
  <si>
    <t xml:space="preserve">Recurso para Cobertura de Déficit Financeiro</t>
  </si>
  <si>
    <t xml:space="preserve">3.5.1.3.2.02.01.00.00.00</t>
  </si>
  <si>
    <t xml:space="preserve">RCL</t>
  </si>
  <si>
    <t xml:space="preserve">( 1 - 2 - 3 - 4 - 5 - 6 - 7 - 8 - 9 + 10)</t>
  </si>
  <si>
    <t xml:space="preserve">1 - RECEITAS CORRENTES</t>
  </si>
  <si>
    <t xml:space="preserve">1.0.0.0.00.00.00.00.00</t>
  </si>
  <si>
    <t xml:space="preserve">2 - DEDUÇÕES DAS RECEITAS CORRENTES</t>
  </si>
  <si>
    <t xml:space="preserve">9.1.0.0.0.00.00.00.00.00</t>
  </si>
  <si>
    <t xml:space="preserve">3 - IRRF sobre Rendimentos do Trabalho</t>
  </si>
  <si>
    <t xml:space="preserve">Ativos / Inativos Poder Executivo / Indiretas</t>
  </si>
  <si>
    <t xml:space="preserve">1.1.1.2.04.31.01.00.00</t>
  </si>
  <si>
    <t xml:space="preserve">Ativos / Inativos Poder Legislativo</t>
  </si>
  <si>
    <t xml:space="preserve">1.1.1.2.04.31.02.00.00</t>
  </si>
  <si>
    <t xml:space="preserve">Multas e Juros de Mora do IRRF</t>
  </si>
  <si>
    <t xml:space="preserve">1.9.1.1.02.03.00.00.00</t>
  </si>
  <si>
    <t xml:space="preserve">Multas e Juros de Mora da Dívida Ativa do IRRF</t>
  </si>
  <si>
    <t xml:space="preserve">1.9.1.3.02.03.00.00.00</t>
  </si>
  <si>
    <t xml:space="preserve">Receita da Dívida Ativa do IRRF</t>
  </si>
  <si>
    <t xml:space="preserve">1.9.3.1.01.03.00.00.00</t>
  </si>
  <si>
    <t xml:space="preserve">4 - Contribuições dos Servidores Ativos / Inativos / Pensionistas para o RPPS</t>
  </si>
  <si>
    <t xml:space="preserve">Contribuição Social para o Financiamento da Seguridade Social</t>
  </si>
  <si>
    <t xml:space="preserve">1.2.1.0.01.00.00.00.00</t>
  </si>
  <si>
    <t xml:space="preserve">Contribuição para o RPPS do Servidor Público</t>
  </si>
  <si>
    <t xml:space="preserve">1.2.1.0.29.00.00.00.00</t>
  </si>
  <si>
    <t xml:space="preserve">5 - Compensação Previdenciária do RPPS</t>
  </si>
  <si>
    <t xml:space="preserve">Compensações Financeiras Entre RGPS e RPPS</t>
  </si>
  <si>
    <t xml:space="preserve">1.9.2.2.10.00.00.00.00</t>
  </si>
  <si>
    <t xml:space="preserve">6 - Receitas do RPPS - Remunerações e Outras Receitas</t>
  </si>
  <si>
    <t xml:space="preserve">Remuneração dos Investimentos do RPPS</t>
  </si>
  <si>
    <t xml:space="preserve">1.3.2.8.00.00.00.00.00</t>
  </si>
  <si>
    <t xml:space="preserve">Outras Receitas Diretamente Arrecadadas pelo RPPS</t>
  </si>
  <si>
    <t xml:space="preserve">1.9.9.0.99.00.01.00.00</t>
  </si>
  <si>
    <t xml:space="preserve">7 - Receitas do Fundo de Assistência Social dos Servidores</t>
  </si>
  <si>
    <t xml:space="preserve">Receita de Rendimentos de Aplicações Financeiras - Fundo de Assistência Social do Servidor</t>
  </si>
  <si>
    <t xml:space="preserve">1.3.2.5.01.99.02.00.00</t>
  </si>
  <si>
    <t xml:space="preserve">Receitas Diretamente Arrecadadas pelo Fundo de Assistência Social dos Servidores</t>
  </si>
  <si>
    <t xml:space="preserve">1.9.9.0.99.00.04.00.00</t>
  </si>
  <si>
    <t xml:space="preserve">8 - Receitas do Fundo de Assistência à Saúde do Servidor</t>
  </si>
  <si>
    <t xml:space="preserve">Receita de Rendimentos de Aplicações Financeiras - Fundo de Assistência à Saúde do Servidor</t>
  </si>
  <si>
    <t xml:space="preserve">1.3.2.5.01.99.03.00.00</t>
  </si>
  <si>
    <t xml:space="preserve">Receitas Diretamente Arrecadadas pelo Fundo de Assistência à Saúde dos Servidores</t>
  </si>
  <si>
    <t xml:space="preserve">1.9.9.0.99.00.05.00.00</t>
  </si>
  <si>
    <t xml:space="preserve">9 - Outras Contribuições Sociais</t>
  </si>
  <si>
    <t xml:space="preserve">Outras Contribuições Sociais</t>
  </si>
  <si>
    <t xml:space="preserve">1.2.1.0.99.00.00.00.00</t>
  </si>
  <si>
    <t xml:space="preserve">(-) Compensação Previdenciária à Prefeitura Municipal</t>
  </si>
  <si>
    <t xml:space="preserve">(1.2.1.0.99.00.10.00.00)</t>
  </si>
  <si>
    <t xml:space="preserve">(-) Contribuição de Inativos e Pensionistas à Prefeitura Municipal</t>
  </si>
  <si>
    <t xml:space="preserve">(1.2.1.0.99.00.11.00.00)</t>
  </si>
  <si>
    <t xml:space="preserve">Multas e Juros de Mora das Contribuições ao RPPS</t>
  </si>
  <si>
    <t xml:space="preserve">1.9.1.2.29.00.00.00.00</t>
  </si>
  <si>
    <t xml:space="preserve">Multas e Juros de Mora de Outras Contribuições – Principal</t>
  </si>
  <si>
    <t xml:space="preserve">1.9.1.2.99.01.00.00.00</t>
  </si>
  <si>
    <t xml:space="preserve">Multas e Juros de Mora da Dívida Ativa das Contribuições</t>
  </si>
  <si>
    <t xml:space="preserve">1.9.1.4.00.00.00.00.00</t>
  </si>
  <si>
    <t xml:space="preserve">Receita da Dívida Ativa de Outras Contribuições</t>
  </si>
  <si>
    <t xml:space="preserve">1.9.3.2.16.00.00.00.00</t>
  </si>
  <si>
    <t xml:space="preserve">10 - PERDA DO FUNDEB</t>
  </si>
  <si>
    <t xml:space="preserve">Índice de Despesa total com Pessoal (metodologia da STN - MDF 6ª edição)</t>
  </si>
  <si>
    <t xml:space="preserve">(1 - 2)</t>
  </si>
  <si>
    <t xml:space="preserve">2 - DEDUÇÕES</t>
  </si>
  <si>
    <t xml:space="preserve">Auxílios</t>
  </si>
  <si>
    <t xml:space="preserve">Indenizações (exceto a Trabalhista)</t>
  </si>
  <si>
    <t xml:space="preserve">Sentenças judiciais de competências anteriores</t>
  </si>
  <si>
    <t xml:space="preserve">Inativos e Pensionistas na fonte 0050 RPPS</t>
  </si>
  <si>
    <t xml:space="preserve">Despesas de Exercícios Anteriores (desde que de competências anteriores)</t>
  </si>
  <si>
    <t xml:space="preserve">Auxílio Medicamento</t>
  </si>
  <si>
    <t xml:space="preserve">( 1 - 2 - 3 - 4 - 5)</t>
  </si>
  <si>
    <t xml:space="preserve">2 - DEDUÇÕES DAS RECEITAS CORRENTES (exceto para o FUNDEB)</t>
  </si>
  <si>
    <t xml:space="preserve">3 - Contribuições dos Servidores Ativos / Inativos / Pensionistas para o RPPS</t>
  </si>
  <si>
    <t xml:space="preserve">4 - Compensação Previdenciária do RPPS</t>
  </si>
  <si>
    <t xml:space="preserve">5 - Deduções para o Fundeb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</si>
</sst>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MMM/YY"/>
    <numFmt numFmtId="166" formatCode="0%"/>
    <numFmt numFmtId="167" formatCode="0.00%"/>
    <numFmt numFmtId="168" formatCode="#,##0.00"/>
  </numFmts>
  <fonts count="5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2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2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4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RowHeight="15"/>
  <cols>
    <col collapsed="false" hidden="false" max="1025" min="1" style="0" width="8.57085020242915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A4" s="0" t="s">
        <v>3</v>
      </c>
    </row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P75"/>
  <sheetViews>
    <sheetView windowProtection="tru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P6" activePane="bottomRight" state="frozen"/>
      <selection pane="topLeft" activeCell="A1" activeCellId="0" sqref="A1"/>
      <selection pane="topRight" activeCell="P1" activeCellId="0" sqref="P1"/>
      <selection pane="bottomLeft" activeCell="A6" activeCellId="0" sqref="A6"/>
      <selection pane="bottomRight" activeCell="P4" activeCellId="0" sqref="P4"/>
    </sheetView>
  </sheetViews>
  <sheetFormatPr defaultRowHeight="15"/>
  <cols>
    <col collapsed="false" hidden="false" max="1" min="1" style="0" width="83.8744939271255"/>
    <col collapsed="false" hidden="false" max="2" min="2" style="0" width="21.9595141700405"/>
    <col collapsed="false" hidden="false" max="7" min="3" style="0" width="11.6761133603239"/>
    <col collapsed="false" hidden="false" max="8" min="8" style="0" width="13.1740890688259"/>
    <col collapsed="false" hidden="false" max="13" min="9" style="0" width="11.6761133603239"/>
    <col collapsed="false" hidden="false" max="14" min="14" style="0" width="14.5668016194332"/>
    <col collapsed="false" hidden="false" max="15" min="15" style="0" width="14.3522267206478"/>
    <col collapsed="false" hidden="false" max="16" min="16" style="0" width="14.2550607287449"/>
    <col collapsed="false" hidden="false" max="1025" min="17" style="0" width="8.57085020242915"/>
  </cols>
  <sheetData>
    <row r="1" customFormat="false" ht="15" hidden="false" customHeight="false" outlineLevel="0" collapsed="false">
      <c r="A1" s="1" t="s">
        <v>4</v>
      </c>
    </row>
    <row r="2" s="1" customFormat="true" ht="13.8" hidden="false" customHeight="false" outlineLevel="0" collapsed="false">
      <c r="A2" s="1" t="s">
        <v>5</v>
      </c>
      <c r="C2" s="2" t="n">
        <v>42186</v>
      </c>
      <c r="D2" s="2" t="n">
        <v>42217</v>
      </c>
      <c r="E2" s="2" t="n">
        <v>42248</v>
      </c>
      <c r="F2" s="2" t="n">
        <v>42278</v>
      </c>
      <c r="G2" s="2" t="n">
        <v>42309</v>
      </c>
      <c r="H2" s="2" t="n">
        <v>42339</v>
      </c>
      <c r="I2" s="2" t="n">
        <v>42370</v>
      </c>
      <c r="J2" s="2" t="n">
        <v>42401</v>
      </c>
      <c r="K2" s="2" t="n">
        <v>42430</v>
      </c>
      <c r="L2" s="2" t="n">
        <v>42461</v>
      </c>
      <c r="M2" s="2" t="n">
        <v>42491</v>
      </c>
      <c r="N2" s="2" t="n">
        <v>42522</v>
      </c>
      <c r="O2" s="2" t="n">
        <v>42552</v>
      </c>
      <c r="P2" s="2" t="n">
        <v>42583</v>
      </c>
    </row>
    <row r="3" s="3" customFormat="true" ht="13.8" hidden="false" customHeight="false" outlineLevel="0" collapsed="false">
      <c r="A3" s="1" t="s">
        <v>6</v>
      </c>
      <c r="B3" s="1"/>
      <c r="N3" s="4" t="n">
        <f aca="false">IF(N44&gt;0,N4/N5,"")</f>
        <v>0.502211244217925</v>
      </c>
      <c r="O3" s="4" t="n">
        <f aca="false">IF(O4&gt;0,O4/O5,"")</f>
        <v>0.507497395619712</v>
      </c>
      <c r="P3" s="4" t="n">
        <f aca="false">IF(P4&gt;0,P4/P5,"")</f>
        <v>0.50255834268003</v>
      </c>
    </row>
    <row r="4" s="6" customFormat="true" ht="13.8" hidden="false" customHeight="false" outlineLevel="0" collapsed="false">
      <c r="A4" s="1" t="s">
        <v>7</v>
      </c>
      <c r="B4" s="1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5" t="n">
        <f aca="false">SUM(C7:N7)</f>
        <v>8339497.01</v>
      </c>
      <c r="O4" s="5" t="n">
        <f aca="false">SUM(D7:O7)</f>
        <v>8430836.04</v>
      </c>
      <c r="P4" s="5" t="n">
        <f aca="false">SUM(E7:P7)</f>
        <v>8478319.14</v>
      </c>
    </row>
    <row r="5" s="8" customFormat="true" ht="13.8" hidden="false" customHeight="false" outlineLevel="0" collapsed="false">
      <c r="A5" s="1" t="s">
        <v>8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7" t="n">
        <f aca="false">SUM(C44:N44)</f>
        <v>16605556.14</v>
      </c>
      <c r="O5" s="7" t="n">
        <f aca="false">SUM(D44:O44)</f>
        <v>16612570.06</v>
      </c>
      <c r="P5" s="7" t="n">
        <f aca="false">SUM(E44:P44)</f>
        <v>16870318.17</v>
      </c>
    </row>
    <row r="7" s="8" customFormat="true" ht="13.8" hidden="false" customHeight="false" outlineLevel="0" collapsed="false">
      <c r="A7" s="1" t="s">
        <v>9</v>
      </c>
      <c r="B7" s="1" t="s">
        <v>10</v>
      </c>
      <c r="C7" s="7" t="n">
        <f aca="false">C8-C9-C35+C40</f>
        <v>592956.43</v>
      </c>
      <c r="D7" s="7" t="n">
        <f aca="false">D8-D9-D35+D40</f>
        <v>601541.92</v>
      </c>
      <c r="E7" s="7" t="n">
        <f aca="false">E8-E9-E35+E40</f>
        <v>600558.82</v>
      </c>
      <c r="F7" s="7" t="n">
        <f aca="false">F8-F9-F35+F40</f>
        <v>631199.28</v>
      </c>
      <c r="G7" s="7" t="n">
        <f aca="false">G8-G9-G35+G40</f>
        <v>612875.7</v>
      </c>
      <c r="H7" s="7" t="n">
        <f aca="false">H8-H9-H35+H40</f>
        <v>1168894.24</v>
      </c>
      <c r="I7" s="7" t="n">
        <f aca="false">I8-I9-I35+I40</f>
        <v>698512.82</v>
      </c>
      <c r="J7" s="7" t="n">
        <f aca="false">J8-J9-J35+J40</f>
        <v>699325.71</v>
      </c>
      <c r="K7" s="7" t="n">
        <f aca="false">K8-K9-K35+K40</f>
        <v>655374.08</v>
      </c>
      <c r="L7" s="7" t="n">
        <f aca="false">L8-L9-L35+L40</f>
        <v>693560.53</v>
      </c>
      <c r="M7" s="7" t="n">
        <f aca="false">M8-M9-M35+M40</f>
        <v>669513.1</v>
      </c>
      <c r="N7" s="7" t="n">
        <f aca="false">N8-N9-N35+N40</f>
        <v>715184.38</v>
      </c>
      <c r="O7" s="7" t="n">
        <f aca="false">O8-O9-O35+O40</f>
        <v>684295.46</v>
      </c>
      <c r="P7" s="7" t="n">
        <f aca="false">P8-P9-P35+P40</f>
        <v>649025.02</v>
      </c>
    </row>
    <row r="8" customFormat="false" ht="13.8" hidden="false" customHeight="false" outlineLevel="0" collapsed="false">
      <c r="A8" s="1" t="s">
        <v>11</v>
      </c>
      <c r="B8" s="1" t="s">
        <v>12</v>
      </c>
      <c r="C8" s="8" t="n">
        <v>784063.29</v>
      </c>
      <c r="D8" s="8" t="n">
        <v>792722.81</v>
      </c>
      <c r="E8" s="8" t="n">
        <v>795163.29</v>
      </c>
      <c r="F8" s="8" t="n">
        <v>825028.42</v>
      </c>
      <c r="G8" s="8" t="n">
        <v>800853.78</v>
      </c>
      <c r="H8" s="8" t="n">
        <v>1541354.6</v>
      </c>
      <c r="I8" s="8" t="n">
        <v>950180.06</v>
      </c>
      <c r="J8" s="8" t="n">
        <v>944216.23</v>
      </c>
      <c r="K8" s="8" t="n">
        <v>883913.86</v>
      </c>
      <c r="L8" s="8" t="n">
        <v>918301.64</v>
      </c>
      <c r="M8" s="8" t="n">
        <v>898228.19</v>
      </c>
      <c r="N8" s="8" t="n">
        <v>957114.77</v>
      </c>
      <c r="O8" s="8" t="n">
        <v>939290.47</v>
      </c>
      <c r="P8" s="8" t="n">
        <v>895845.18</v>
      </c>
    </row>
    <row r="9" customFormat="false" ht="13.8" hidden="false" customHeight="false" outlineLevel="0" collapsed="false">
      <c r="A9" s="1" t="s">
        <v>13</v>
      </c>
      <c r="B9" s="1"/>
      <c r="C9" s="7" t="n">
        <f aca="false">SUM(C10:C34)</f>
        <v>173501.7</v>
      </c>
      <c r="D9" s="7" t="n">
        <f aca="false">SUM(D10:D34)</f>
        <v>174886.68</v>
      </c>
      <c r="E9" s="7" t="n">
        <f aca="false">SUM(E10:E34)</f>
        <v>177371.96</v>
      </c>
      <c r="F9" s="7" t="n">
        <f aca="false">SUM(F10:F34)</f>
        <v>172545.62</v>
      </c>
      <c r="G9" s="7" t="n">
        <f aca="false">SUM(G10:G34)</f>
        <v>169935.03</v>
      </c>
      <c r="H9" s="7" t="n">
        <f aca="false">SUM(H10:H34)</f>
        <v>335738.36</v>
      </c>
      <c r="I9" s="7" t="n">
        <f aca="false">SUM(I10:I34)</f>
        <v>219304.71</v>
      </c>
      <c r="J9" s="7" t="n">
        <f aca="false">SUM(J10:J34)</f>
        <v>218547.06</v>
      </c>
      <c r="K9" s="7" t="n">
        <f aca="false">SUM(K10:K34)</f>
        <v>206124.02</v>
      </c>
      <c r="L9" s="7" t="n">
        <f aca="false">SUM(L10:L34)</f>
        <v>202452.37</v>
      </c>
      <c r="M9" s="7" t="n">
        <f aca="false">SUM(M10:M34)</f>
        <v>206730.54</v>
      </c>
      <c r="N9" s="7" t="n">
        <f aca="false">SUM(N10:N34)</f>
        <v>211783.94</v>
      </c>
      <c r="O9" s="7" t="n">
        <f aca="false">SUM(O10:O34)</f>
        <v>230501.62</v>
      </c>
      <c r="P9" s="7" t="n">
        <f aca="false">SUM(P10:P34)</f>
        <v>224884.97</v>
      </c>
    </row>
    <row r="10" s="9" customFormat="true" ht="15" hidden="false" customHeight="false" outlineLevel="0" collapsed="false">
      <c r="A10" s="9" t="s">
        <v>14</v>
      </c>
      <c r="B10" s="9" t="s">
        <v>15</v>
      </c>
      <c r="C10" s="9" t="n">
        <v>57711.23</v>
      </c>
      <c r="D10" s="9" t="n">
        <v>57711.23</v>
      </c>
      <c r="E10" s="9" t="n">
        <v>57711.23</v>
      </c>
      <c r="F10" s="9" t="n">
        <v>57711.23</v>
      </c>
      <c r="G10" s="9" t="n">
        <v>57711.23</v>
      </c>
      <c r="H10" s="9" t="n">
        <v>116707.58</v>
      </c>
      <c r="I10" s="9" t="n">
        <v>77284.95</v>
      </c>
      <c r="J10" s="9" t="n">
        <v>81897.21</v>
      </c>
      <c r="K10" s="9" t="n">
        <v>79860.1</v>
      </c>
      <c r="L10" s="9" t="n">
        <v>79860.1</v>
      </c>
      <c r="M10" s="9" t="n">
        <v>79860.1</v>
      </c>
      <c r="N10" s="9" t="n">
        <v>79860.1</v>
      </c>
      <c r="O10" s="9" t="n">
        <v>80625.97</v>
      </c>
      <c r="P10" s="9" t="n">
        <v>78832.16</v>
      </c>
    </row>
    <row r="11" s="9" customFormat="true" ht="15" hidden="false" customHeight="false" outlineLevel="0" collapsed="false">
      <c r="A11" s="9" t="s">
        <v>16</v>
      </c>
      <c r="B11" s="9" t="s">
        <v>17</v>
      </c>
      <c r="C11" s="9" t="n">
        <v>23580.32</v>
      </c>
      <c r="D11" s="9" t="n">
        <v>23580.32</v>
      </c>
      <c r="E11" s="9" t="n">
        <v>23580.32</v>
      </c>
      <c r="F11" s="9" t="n">
        <v>23580.32</v>
      </c>
      <c r="G11" s="9" t="n">
        <v>23580.32</v>
      </c>
      <c r="H11" s="9" t="n">
        <v>47160.64</v>
      </c>
      <c r="I11" s="9" t="n">
        <v>26410.03</v>
      </c>
      <c r="J11" s="9" t="n">
        <v>30454.21</v>
      </c>
      <c r="K11" s="9" t="n">
        <v>30334.38</v>
      </c>
      <c r="L11" s="9" t="n">
        <v>30334.38</v>
      </c>
      <c r="M11" s="9" t="n">
        <v>30334.38</v>
      </c>
      <c r="N11" s="9" t="n">
        <v>30744.31</v>
      </c>
      <c r="O11" s="9" t="n">
        <v>37678.09</v>
      </c>
      <c r="P11" s="9" t="n">
        <v>40827.04</v>
      </c>
    </row>
    <row r="12" s="9" customFormat="true" ht="15" hidden="false" customHeight="false" outlineLevel="0" collapsed="false">
      <c r="A12" s="9" t="s">
        <v>18</v>
      </c>
      <c r="B12" s="9" t="s">
        <v>19</v>
      </c>
      <c r="C12" s="9" t="n">
        <v>37892.99</v>
      </c>
      <c r="D12" s="9" t="n">
        <v>38467.54</v>
      </c>
      <c r="E12" s="9" t="n">
        <v>41167.21</v>
      </c>
      <c r="F12" s="9" t="n">
        <v>35897.36</v>
      </c>
      <c r="G12" s="9" t="n">
        <v>32721.77</v>
      </c>
      <c r="H12" s="9" t="n">
        <v>61179.3</v>
      </c>
      <c r="I12" s="9" t="n">
        <v>38187.96</v>
      </c>
      <c r="J12" s="9" t="n">
        <v>38302.58</v>
      </c>
      <c r="K12" s="9" t="n">
        <v>29505</v>
      </c>
      <c r="L12" s="9" t="n">
        <v>25412.26</v>
      </c>
      <c r="M12" s="9" t="n">
        <v>29697.23</v>
      </c>
      <c r="N12" s="9" t="n">
        <v>32661</v>
      </c>
      <c r="O12" s="9" t="n">
        <v>42799.24</v>
      </c>
      <c r="P12" s="9" t="n">
        <v>39709.75</v>
      </c>
    </row>
    <row r="13" customFormat="false" ht="15" hidden="false" customHeight="false" outlineLevel="0" collapsed="false">
      <c r="A13" s="9" t="s">
        <v>20</v>
      </c>
      <c r="B13" s="9" t="s">
        <v>21</v>
      </c>
    </row>
    <row r="14" customFormat="false" ht="15" hidden="false" customHeight="false" outlineLevel="0" collapsed="false">
      <c r="A14" s="9" t="s">
        <v>22</v>
      </c>
      <c r="B14" s="9" t="s">
        <v>23</v>
      </c>
    </row>
    <row r="15" customFormat="false" ht="15" hidden="false" customHeight="false" outlineLevel="0" collapsed="false">
      <c r="A15" s="9" t="s">
        <v>24</v>
      </c>
      <c r="B15" s="9" t="s">
        <v>25</v>
      </c>
    </row>
    <row r="16" customFormat="false" ht="15" hidden="false" customHeight="false" outlineLevel="0" collapsed="false">
      <c r="A16" s="9" t="s">
        <v>26</v>
      </c>
      <c r="B16" s="9" t="s">
        <v>27</v>
      </c>
    </row>
    <row r="17" customFormat="false" ht="15" hidden="false" customHeight="false" outlineLevel="0" collapsed="false">
      <c r="A17" s="9" t="s">
        <v>28</v>
      </c>
      <c r="B17" s="9" t="s">
        <v>29</v>
      </c>
    </row>
    <row r="18" customFormat="false" ht="15" hidden="false" customHeight="false" outlineLevel="0" collapsed="false">
      <c r="A18" s="9" t="s">
        <v>30</v>
      </c>
      <c r="B18" s="9" t="s">
        <v>31</v>
      </c>
    </row>
    <row r="19" customFormat="false" ht="15" hidden="false" customHeight="false" outlineLevel="0" collapsed="false">
      <c r="A19" s="9" t="s">
        <v>32</v>
      </c>
      <c r="B19" s="9" t="s">
        <v>33</v>
      </c>
    </row>
    <row r="20" customFormat="false" ht="15" hidden="false" customHeight="false" outlineLevel="0" collapsed="false">
      <c r="A20" s="9" t="s">
        <v>34</v>
      </c>
      <c r="B20" s="9" t="s">
        <v>35</v>
      </c>
    </row>
    <row r="21" customFormat="false" ht="15" hidden="false" customHeight="false" outlineLevel="0" collapsed="false">
      <c r="A21" s="9" t="s">
        <v>36</v>
      </c>
      <c r="B21" s="9" t="s">
        <v>37</v>
      </c>
    </row>
    <row r="22" customFormat="false" ht="15" hidden="false" customHeight="false" outlineLevel="0" collapsed="false">
      <c r="A22" s="9" t="s">
        <v>38</v>
      </c>
      <c r="B22" s="9" t="s">
        <v>39</v>
      </c>
    </row>
    <row r="23" customFormat="false" ht="15" hidden="false" customHeight="false" outlineLevel="0" collapsed="false">
      <c r="A23" s="9" t="s">
        <v>40</v>
      </c>
      <c r="B23" s="9" t="s">
        <v>41</v>
      </c>
    </row>
    <row r="24" customFormat="false" ht="15" hidden="false" customHeight="false" outlineLevel="0" collapsed="false">
      <c r="A24" s="9" t="s">
        <v>42</v>
      </c>
      <c r="B24" s="9" t="s">
        <v>43</v>
      </c>
    </row>
    <row r="25" customFormat="false" ht="15" hidden="false" customHeight="false" outlineLevel="0" collapsed="false">
      <c r="A25" s="9" t="s">
        <v>44</v>
      </c>
      <c r="B25" s="9" t="s">
        <v>45</v>
      </c>
    </row>
    <row r="26" customFormat="false" ht="15" hidden="false" customHeight="false" outlineLevel="0" collapsed="false">
      <c r="A26" s="9" t="s">
        <v>46</v>
      </c>
      <c r="B26" s="9" t="s">
        <v>47</v>
      </c>
    </row>
    <row r="27" customFormat="false" ht="15" hidden="false" customHeight="false" outlineLevel="0" collapsed="false">
      <c r="A27" s="9" t="s">
        <v>48</v>
      </c>
      <c r="B27" s="9" t="s">
        <v>49</v>
      </c>
    </row>
    <row r="28" customFormat="false" ht="15" hidden="false" customHeight="false" outlineLevel="0" collapsed="false">
      <c r="A28" s="9" t="s">
        <v>50</v>
      </c>
      <c r="B28" s="9" t="s">
        <v>51</v>
      </c>
    </row>
    <row r="29" customFormat="false" ht="15" hidden="false" customHeight="false" outlineLevel="0" collapsed="false">
      <c r="A29" s="9" t="s">
        <v>52</v>
      </c>
      <c r="B29" s="9" t="s">
        <v>53</v>
      </c>
    </row>
    <row r="30" customFormat="false" ht="15" hidden="false" customHeight="false" outlineLevel="0" collapsed="false">
      <c r="A30" s="9" t="s">
        <v>54</v>
      </c>
      <c r="B30" s="9" t="s">
        <v>55</v>
      </c>
    </row>
    <row r="31" customFormat="false" ht="15" hidden="false" customHeight="false" outlineLevel="0" collapsed="false">
      <c r="A31" s="9" t="s">
        <v>56</v>
      </c>
      <c r="B31" s="9" t="s">
        <v>57</v>
      </c>
    </row>
    <row r="32" customFormat="false" ht="15" hidden="false" customHeight="false" outlineLevel="0" collapsed="false">
      <c r="A32" s="9" t="s">
        <v>58</v>
      </c>
      <c r="B32" s="9" t="s">
        <v>59</v>
      </c>
    </row>
    <row r="33" customFormat="false" ht="15" hidden="false" customHeight="false" outlineLevel="0" collapsed="false">
      <c r="A33" s="9" t="s">
        <v>60</v>
      </c>
      <c r="B33" s="9" t="s">
        <v>61</v>
      </c>
    </row>
    <row r="34" customFormat="false" ht="15" hidden="false" customHeight="false" outlineLevel="0" collapsed="false">
      <c r="A34" s="9" t="s">
        <v>62</v>
      </c>
      <c r="B34" s="9" t="s">
        <v>63</v>
      </c>
      <c r="C34" s="9" t="n">
        <v>54317.16</v>
      </c>
      <c r="D34" s="9" t="n">
        <v>55127.59</v>
      </c>
      <c r="E34" s="9" t="n">
        <v>54913.2</v>
      </c>
      <c r="F34" s="9" t="n">
        <v>55356.71</v>
      </c>
      <c r="G34" s="9" t="n">
        <v>55921.71</v>
      </c>
      <c r="H34" s="9" t="n">
        <v>110690.84</v>
      </c>
      <c r="I34" s="9" t="n">
        <v>77421.77</v>
      </c>
      <c r="J34" s="9" t="n">
        <v>67893.06</v>
      </c>
      <c r="K34" s="9" t="n">
        <v>66424.54</v>
      </c>
      <c r="L34" s="9" t="n">
        <v>66845.63</v>
      </c>
      <c r="M34" s="9" t="n">
        <v>66838.83</v>
      </c>
      <c r="N34" s="9" t="n">
        <v>68518.53</v>
      </c>
      <c r="O34" s="10" t="n">
        <v>69398.32</v>
      </c>
      <c r="P34" s="10" t="n">
        <v>65516.02</v>
      </c>
    </row>
    <row r="35" s="8" customFormat="true" ht="13.8" hidden="false" customHeight="false" outlineLevel="0" collapsed="false">
      <c r="A35" s="1" t="s">
        <v>64</v>
      </c>
      <c r="B35" s="1"/>
      <c r="C35" s="7" t="n">
        <f aca="false">SUM(C36:C39)</f>
        <v>17605.16</v>
      </c>
      <c r="D35" s="7" t="n">
        <f aca="false">SUM(D36:D39)</f>
        <v>16294.21</v>
      </c>
      <c r="E35" s="7" t="n">
        <f aca="false">SUM(E36:E39)</f>
        <v>17232.51</v>
      </c>
      <c r="F35" s="7" t="n">
        <f aca="false">SUM(F36:F39)</f>
        <v>21283.52</v>
      </c>
      <c r="G35" s="7" t="n">
        <f aca="false">SUM(G36:G39)</f>
        <v>18043.05</v>
      </c>
      <c r="H35" s="7" t="n">
        <f aca="false">SUM(H36:H39)</f>
        <v>36722</v>
      </c>
      <c r="I35" s="7" t="n">
        <f aca="false">SUM(I36:I39)</f>
        <v>32362.53</v>
      </c>
      <c r="J35" s="7" t="n">
        <f aca="false">SUM(J36:J39)</f>
        <v>26343.46</v>
      </c>
      <c r="K35" s="7" t="n">
        <f aca="false">SUM(K36:K39)</f>
        <v>22415.76</v>
      </c>
      <c r="L35" s="7" t="n">
        <f aca="false">SUM(L36:L39)</f>
        <v>22288.74</v>
      </c>
      <c r="M35" s="7" t="n">
        <f aca="false">SUM(M36:M39)</f>
        <v>21984.55</v>
      </c>
      <c r="N35" s="7" t="n">
        <f aca="false">SUM(N36:N39)</f>
        <v>30146.45</v>
      </c>
      <c r="O35" s="7" t="n">
        <f aca="false">SUM(O36:O39)</f>
        <v>24493.39</v>
      </c>
      <c r="P35" s="7" t="n">
        <f aca="false">SUM(P36:P39)</f>
        <v>21935.19</v>
      </c>
    </row>
    <row r="36" s="9" customFormat="true" ht="15" hidden="false" customHeight="false" outlineLevel="0" collapsed="false">
      <c r="A36" s="9" t="s">
        <v>65</v>
      </c>
      <c r="B36" s="9" t="s">
        <v>66</v>
      </c>
      <c r="C36" s="9" t="n">
        <v>17605.16</v>
      </c>
      <c r="D36" s="9" t="n">
        <v>16294.21</v>
      </c>
      <c r="E36" s="9" t="n">
        <v>17232.51</v>
      </c>
      <c r="F36" s="9" t="n">
        <v>21283.52</v>
      </c>
      <c r="G36" s="9" t="n">
        <v>18043.05</v>
      </c>
      <c r="H36" s="9" t="n">
        <v>36722</v>
      </c>
      <c r="I36" s="9" t="n">
        <v>32362.53</v>
      </c>
      <c r="J36" s="9" t="n">
        <v>26343.46</v>
      </c>
      <c r="K36" s="9" t="n">
        <v>22415.76</v>
      </c>
      <c r="L36" s="9" t="n">
        <v>22288.74</v>
      </c>
      <c r="M36" s="9" t="n">
        <v>21984.55</v>
      </c>
      <c r="N36" s="9" t="n">
        <v>30146.45</v>
      </c>
      <c r="O36" s="9" t="n">
        <v>24493.39</v>
      </c>
      <c r="P36" s="9" t="n">
        <v>21935.19</v>
      </c>
    </row>
    <row r="37" customFormat="false" ht="15" hidden="false" customHeight="false" outlineLevel="0" collapsed="false">
      <c r="A37" s="9" t="s">
        <v>67</v>
      </c>
      <c r="B37" s="9" t="s">
        <v>68</v>
      </c>
    </row>
    <row r="38" customFormat="false" ht="15" hidden="false" customHeight="false" outlineLevel="0" collapsed="false">
      <c r="A38" s="9" t="s">
        <v>69</v>
      </c>
      <c r="B38" s="9" t="s">
        <v>70</v>
      </c>
    </row>
    <row r="39" customFormat="false" ht="15" hidden="false" customHeight="false" outlineLevel="0" collapsed="false">
      <c r="A39" s="9" t="s">
        <v>71</v>
      </c>
      <c r="B39" s="9" t="s">
        <v>72</v>
      </c>
    </row>
    <row r="40" s="8" customFormat="true" ht="13.8" hidden="false" customHeight="false" outlineLevel="0" collapsed="false">
      <c r="A40" s="1" t="s">
        <v>73</v>
      </c>
      <c r="B40" s="1"/>
      <c r="C40" s="7" t="n">
        <f aca="false">SUM(C41:C42)</f>
        <v>0</v>
      </c>
      <c r="D40" s="7" t="n">
        <f aca="false">SUM(D41:D42)</f>
        <v>0</v>
      </c>
      <c r="E40" s="7" t="n">
        <f aca="false">SUM(E41:E42)</f>
        <v>0</v>
      </c>
      <c r="F40" s="7" t="n">
        <f aca="false">SUM(F41:F42)</f>
        <v>0</v>
      </c>
      <c r="G40" s="7" t="n">
        <f aca="false">SUM(G41:G42)</f>
        <v>0</v>
      </c>
      <c r="H40" s="7" t="n">
        <f aca="false">SUM(H41:H42)</f>
        <v>0</v>
      </c>
      <c r="I40" s="7" t="n">
        <f aca="false">SUM(I41:I42)</f>
        <v>0</v>
      </c>
      <c r="J40" s="7" t="n">
        <f aca="false">SUM(J41:J42)</f>
        <v>0</v>
      </c>
      <c r="K40" s="7" t="n">
        <f aca="false">SUM(K41:K42)</f>
        <v>0</v>
      </c>
      <c r="L40" s="7" t="n">
        <f aca="false">SUM(L41:L42)</f>
        <v>0</v>
      </c>
      <c r="M40" s="7" t="n">
        <f aca="false">SUM(M41:M42)</f>
        <v>0</v>
      </c>
      <c r="N40" s="7" t="n">
        <f aca="false">SUM(N41:N42)</f>
        <v>0</v>
      </c>
      <c r="O40" s="7" t="n">
        <f aca="false">SUM(O41:O42)</f>
        <v>0</v>
      </c>
      <c r="P40" s="7" t="n">
        <f aca="false">SUM(P41:P42)</f>
        <v>0</v>
      </c>
    </row>
    <row r="41" s="9" customFormat="true" ht="15" hidden="false" customHeight="false" outlineLevel="0" collapsed="false">
      <c r="A41" s="9" t="s">
        <v>74</v>
      </c>
      <c r="B41" s="9" t="s">
        <v>75</v>
      </c>
    </row>
    <row r="42" s="9" customFormat="true" ht="15" hidden="false" customHeight="false" outlineLevel="0" collapsed="false">
      <c r="A42" s="9" t="s">
        <v>76</v>
      </c>
      <c r="B42" s="9" t="s">
        <v>77</v>
      </c>
    </row>
    <row r="43" s="9" customFormat="true" ht="15" hidden="false" customHeight="false" outlineLevel="0" collapsed="false">
      <c r="A43" s="0"/>
      <c r="B43" s="0"/>
    </row>
    <row r="44" s="8" customFormat="true" ht="13.8" hidden="false" customHeight="false" outlineLevel="0" collapsed="false">
      <c r="A44" s="1" t="s">
        <v>78</v>
      </c>
      <c r="B44" s="1" t="s">
        <v>79</v>
      </c>
      <c r="C44" s="7" t="n">
        <f aca="false">C45-C46-C47-C53-C56-C58-C61-C64-C67+C75</f>
        <v>1337176.93</v>
      </c>
      <c r="D44" s="7" t="n">
        <f aca="false">D45-D46-D47-D53-D56-D58-D61-D64-D67+D75</f>
        <v>1126788.79</v>
      </c>
      <c r="E44" s="7" t="n">
        <f aca="false">E45-E46-E47-E53-E56-E58-E61-E64-E67+E75</f>
        <v>1275546.3</v>
      </c>
      <c r="F44" s="7" t="n">
        <f aca="false">F45-F46-F47-F53-F56-F58-F61-F64-F67+F75</f>
        <v>1193296.52</v>
      </c>
      <c r="G44" s="7" t="n">
        <f aca="false">G45-G46-G47-G53-G56-G58-G61-G64-G67+G75</f>
        <v>1159745.82</v>
      </c>
      <c r="H44" s="7" t="n">
        <f aca="false">H45-H46-H47-H53-H56-H58-H61-H64-H67+H75</f>
        <v>1869614.16</v>
      </c>
      <c r="I44" s="7" t="n">
        <f aca="false">I45-I46-I47-I53-I56-I58-I61-I64-I67+I75</f>
        <v>1301843.1</v>
      </c>
      <c r="J44" s="7" t="n">
        <f aca="false">J45-J46-J47-J53-J56-J58-J61-J64-J67+J75</f>
        <v>1375536.5</v>
      </c>
      <c r="K44" s="7" t="n">
        <f aca="false">K45-K46-K47-K53-K56-K58-K61-K64-K67+K75</f>
        <v>1285655.7</v>
      </c>
      <c r="L44" s="7" t="n">
        <f aca="false">L45-L46-L47-L53-L56-L58-L61-L64-L67+L75</f>
        <v>1447970.07</v>
      </c>
      <c r="M44" s="7" t="n">
        <f aca="false">M45-M46-M47-M53-M56-M58-M61-M64-M67+M75</f>
        <v>1839235.29</v>
      </c>
      <c r="N44" s="7" t="n">
        <f aca="false">N45-N46-N47-N53-N56-N58-N61-N64-N67+N75</f>
        <v>1393146.96</v>
      </c>
      <c r="O44" s="7" t="n">
        <f aca="false">O45-O46-O47-O53-O56-O58-O61-O64-O67+O75</f>
        <v>1344190.85</v>
      </c>
      <c r="P44" s="7" t="n">
        <f aca="false">P45-P46-P47-P53-P56-P58-P61-P64-P67+P75</f>
        <v>1384536.9</v>
      </c>
    </row>
    <row r="45" customFormat="false" ht="15" hidden="false" customHeight="false" outlineLevel="0" collapsed="false">
      <c r="A45" s="1" t="s">
        <v>80</v>
      </c>
      <c r="B45" s="1" t="s">
        <v>81</v>
      </c>
      <c r="C45" s="8" t="n">
        <v>1645089.9</v>
      </c>
      <c r="D45" s="8" t="n">
        <v>1428374.83</v>
      </c>
      <c r="E45" s="8" t="n">
        <v>1563079.37</v>
      </c>
      <c r="F45" s="8" t="n">
        <v>1480372.32</v>
      </c>
      <c r="G45" s="8" t="n">
        <v>1435060.36</v>
      </c>
      <c r="H45" s="8" t="n">
        <v>2315791.53</v>
      </c>
      <c r="I45" s="8" t="n">
        <v>1758397.95</v>
      </c>
      <c r="J45" s="8" t="n">
        <v>1888341.41</v>
      </c>
      <c r="K45" s="8" t="n">
        <v>2020714.25</v>
      </c>
      <c r="L45" s="8" t="n">
        <v>2111521.46</v>
      </c>
      <c r="M45" s="8" t="n">
        <v>2210806.52</v>
      </c>
      <c r="N45" s="8" t="n">
        <v>1869631.35</v>
      </c>
      <c r="O45" s="0" t="n">
        <v>1854871.25</v>
      </c>
      <c r="P45" s="10" t="n">
        <v>1824460.25</v>
      </c>
    </row>
    <row r="46" customFormat="false" ht="15" hidden="false" customHeight="false" outlineLevel="0" collapsed="false">
      <c r="A46" s="1" t="s">
        <v>82</v>
      </c>
      <c r="B46" s="1" t="s">
        <v>83</v>
      </c>
      <c r="C46" s="8" t="n">
        <v>172091.37</v>
      </c>
      <c r="D46" s="8" t="n">
        <v>183665.23</v>
      </c>
      <c r="E46" s="8" t="n">
        <v>217481.65</v>
      </c>
      <c r="F46" s="8" t="n">
        <v>175974.04</v>
      </c>
      <c r="G46" s="8" t="n">
        <v>182751.84</v>
      </c>
      <c r="H46" s="8" t="n">
        <v>266224.47</v>
      </c>
      <c r="I46" s="8" t="n">
        <v>211095.57</v>
      </c>
      <c r="J46" s="8" t="n">
        <v>235567.69</v>
      </c>
      <c r="K46" s="8" t="n">
        <v>229666.97</v>
      </c>
      <c r="L46" s="8" t="n">
        <v>245674.2</v>
      </c>
      <c r="M46" s="8" t="n">
        <v>308383.63</v>
      </c>
      <c r="N46" s="8" t="n">
        <v>214113.46</v>
      </c>
      <c r="O46" s="0" t="n">
        <v>183168.89</v>
      </c>
      <c r="P46" s="10" t="n">
        <v>252119.76</v>
      </c>
    </row>
    <row r="47" customFormat="false" ht="13.8" hidden="false" customHeight="false" outlineLevel="0" collapsed="false">
      <c r="A47" s="1" t="s">
        <v>84</v>
      </c>
      <c r="B47" s="1"/>
      <c r="C47" s="7" t="n">
        <f aca="false">SUM(C48:C52)</f>
        <v>18460.44</v>
      </c>
      <c r="D47" s="7" t="n">
        <f aca="false">SUM(D48:D52)</f>
        <v>17140.48</v>
      </c>
      <c r="E47" s="7" t="n">
        <f aca="false">SUM(E48:E52)</f>
        <v>18087.79</v>
      </c>
      <c r="F47" s="7" t="n">
        <f aca="false">SUM(F48:F52)</f>
        <v>22138.8</v>
      </c>
      <c r="G47" s="7" t="n">
        <f aca="false">SUM(G48:G52)</f>
        <v>18898.33</v>
      </c>
      <c r="H47" s="7" t="n">
        <f aca="false">SUM(H48:H52)</f>
        <v>38476.56</v>
      </c>
      <c r="I47" s="7" t="n">
        <f aca="false">SUM(I48:I52)</f>
        <v>33895.46</v>
      </c>
      <c r="J47" s="7" t="n">
        <f aca="false">SUM(J48:J52)</f>
        <v>27809.79</v>
      </c>
      <c r="K47" s="7" t="n">
        <f aca="false">SUM(K48:K52)</f>
        <v>23688.1</v>
      </c>
      <c r="L47" s="7" t="n">
        <f aca="false">SUM(L48:L52)</f>
        <v>23561.08</v>
      </c>
      <c r="M47" s="7" t="n">
        <f aca="false">SUM(M48:M52)</f>
        <v>23258.33</v>
      </c>
      <c r="N47" s="7" t="n">
        <f aca="false">SUM(N48:N52)</f>
        <v>31817.38</v>
      </c>
      <c r="O47" s="7" t="n">
        <f aca="false">SUM(O48:O52)</f>
        <v>25951.97</v>
      </c>
      <c r="P47" s="7" t="n">
        <f aca="false">SUM(P48:P52)</f>
        <v>23221.49</v>
      </c>
    </row>
    <row r="48" s="9" customFormat="true" ht="15" hidden="false" customHeight="false" outlineLevel="0" collapsed="false">
      <c r="A48" s="9" t="s">
        <v>85</v>
      </c>
      <c r="B48" s="9" t="s">
        <v>86</v>
      </c>
      <c r="C48" s="9" t="n">
        <v>17605.16</v>
      </c>
      <c r="D48" s="9" t="n">
        <v>16294.21</v>
      </c>
      <c r="E48" s="9" t="n">
        <v>17232.51</v>
      </c>
      <c r="F48" s="9" t="n">
        <v>21283.52</v>
      </c>
      <c r="G48" s="9" t="n">
        <v>18043.05</v>
      </c>
      <c r="H48" s="9" t="n">
        <v>36722</v>
      </c>
      <c r="I48" s="9" t="n">
        <v>32362.53</v>
      </c>
      <c r="J48" s="9" t="n">
        <v>26343.46</v>
      </c>
      <c r="K48" s="9" t="n">
        <v>22415.76</v>
      </c>
      <c r="L48" s="9" t="n">
        <v>22288.74</v>
      </c>
      <c r="M48" s="9" t="n">
        <v>21984.55</v>
      </c>
      <c r="N48" s="9" t="n">
        <v>30146.45</v>
      </c>
      <c r="O48" s="9" t="n">
        <v>24493.39</v>
      </c>
      <c r="P48" s="9" t="n">
        <v>21935.19</v>
      </c>
    </row>
    <row r="49" s="9" customFormat="true" ht="15" hidden="false" customHeight="false" outlineLevel="0" collapsed="false">
      <c r="A49" s="9" t="s">
        <v>87</v>
      </c>
      <c r="B49" s="9" t="s">
        <v>88</v>
      </c>
      <c r="C49" s="9" t="n">
        <v>855.28</v>
      </c>
      <c r="D49" s="9" t="n">
        <v>846.27</v>
      </c>
      <c r="E49" s="9" t="n">
        <v>855.28</v>
      </c>
      <c r="F49" s="9" t="n">
        <v>855.28</v>
      </c>
      <c r="G49" s="9" t="n">
        <v>855.28</v>
      </c>
      <c r="H49" s="9" t="n">
        <v>1754.56</v>
      </c>
      <c r="I49" s="9" t="n">
        <v>1532.93</v>
      </c>
      <c r="J49" s="9" t="n">
        <v>1466.33</v>
      </c>
      <c r="K49" s="9" t="n">
        <v>1272.34</v>
      </c>
      <c r="L49" s="9" t="n">
        <v>1272.34</v>
      </c>
      <c r="M49" s="9" t="n">
        <v>1273.78</v>
      </c>
      <c r="N49" s="9" t="n">
        <v>1670.93</v>
      </c>
      <c r="O49" s="9" t="n">
        <v>1458.58</v>
      </c>
      <c r="P49" s="9" t="n">
        <v>1286.3</v>
      </c>
    </row>
    <row r="50" customFormat="false" ht="15" hidden="false" customHeight="false" outlineLevel="0" collapsed="false">
      <c r="A50" s="9" t="s">
        <v>89</v>
      </c>
      <c r="B50" s="9" t="s">
        <v>90</v>
      </c>
    </row>
    <row r="51" customFormat="false" ht="15" hidden="false" customHeight="false" outlineLevel="0" collapsed="false">
      <c r="A51" s="9" t="s">
        <v>91</v>
      </c>
      <c r="B51" s="9" t="s">
        <v>92</v>
      </c>
    </row>
    <row r="52" customFormat="false" ht="15" hidden="false" customHeight="false" outlineLevel="0" collapsed="false">
      <c r="A52" s="9" t="s">
        <v>93</v>
      </c>
      <c r="B52" s="9" t="s">
        <v>94</v>
      </c>
    </row>
    <row r="53" s="8" customFormat="true" ht="13.8" hidden="false" customHeight="false" outlineLevel="0" collapsed="false">
      <c r="A53" s="1" t="s">
        <v>95</v>
      </c>
      <c r="B53" s="1"/>
      <c r="C53" s="7" t="n">
        <f aca="false">SUM(C54:C55)</f>
        <v>46660.27</v>
      </c>
      <c r="D53" s="7" t="n">
        <f aca="false">SUM(D54:D55)</f>
        <v>45040.9</v>
      </c>
      <c r="E53" s="7" t="n">
        <f aca="false">SUM(E54:E55)</f>
        <v>45375.29</v>
      </c>
      <c r="F53" s="7" t="n">
        <f aca="false">SUM(F54:F55)</f>
        <v>45081.3</v>
      </c>
      <c r="G53" s="7" t="n">
        <f aca="false">SUM(G54:G55)</f>
        <v>45763.08</v>
      </c>
      <c r="H53" s="7" t="n">
        <f aca="false">SUM(H54:H55)</f>
        <v>136780.42</v>
      </c>
      <c r="I53" s="7" t="n">
        <f aca="false">SUM(I54:I55)</f>
        <v>0</v>
      </c>
      <c r="J53" s="7" t="n">
        <f aca="false">SUM(J54:J55)</f>
        <v>58907.16</v>
      </c>
      <c r="K53" s="7" t="n">
        <f aca="false">SUM(K54:K55)</f>
        <v>51795.63</v>
      </c>
      <c r="L53" s="7" t="n">
        <f aca="false">SUM(L54:L55)</f>
        <v>50454.9</v>
      </c>
      <c r="M53" s="7" t="n">
        <f aca="false">SUM(M54:M55)</f>
        <v>50889</v>
      </c>
      <c r="N53" s="7" t="n">
        <f aca="false">SUM(N54:N55)</f>
        <v>51080.58</v>
      </c>
      <c r="O53" s="7" t="n">
        <f aca="false">SUM(O54:O55)</f>
        <v>52155.46</v>
      </c>
      <c r="P53" s="7" t="n">
        <f aca="false">SUM(P54:P55)</f>
        <v>52921.44</v>
      </c>
    </row>
    <row r="54" s="9" customFormat="true" ht="15" hidden="false" customHeight="false" outlineLevel="0" collapsed="false">
      <c r="A54" s="9" t="s">
        <v>96</v>
      </c>
      <c r="B54" s="9" t="s">
        <v>97</v>
      </c>
    </row>
    <row r="55" customFormat="false" ht="15" hidden="false" customHeight="false" outlineLevel="0" collapsed="false">
      <c r="A55" s="9" t="s">
        <v>98</v>
      </c>
      <c r="B55" s="9" t="s">
        <v>99</v>
      </c>
      <c r="C55" s="9" t="n">
        <v>46660.27</v>
      </c>
      <c r="D55" s="9" t="n">
        <v>45040.9</v>
      </c>
      <c r="E55" s="9" t="n">
        <v>45375.29</v>
      </c>
      <c r="F55" s="9" t="n">
        <v>45081.3</v>
      </c>
      <c r="G55" s="9" t="n">
        <v>45763.08</v>
      </c>
      <c r="H55" s="9" t="n">
        <v>136780.42</v>
      </c>
      <c r="I55" s="9" t="n">
        <v>0</v>
      </c>
      <c r="J55" s="9" t="n">
        <v>58907.16</v>
      </c>
      <c r="K55" s="9" t="n">
        <v>51795.63</v>
      </c>
      <c r="L55" s="9" t="n">
        <v>50454.9</v>
      </c>
      <c r="M55" s="9" t="n">
        <v>50889</v>
      </c>
      <c r="N55" s="9" t="n">
        <v>51080.58</v>
      </c>
      <c r="O55" s="10" t="n">
        <v>52155.46</v>
      </c>
      <c r="P55" s="10" t="n">
        <v>52921.44</v>
      </c>
    </row>
    <row r="56" s="8" customFormat="true" ht="13.8" hidden="false" customHeight="false" outlineLevel="0" collapsed="false">
      <c r="A56" s="1" t="s">
        <v>100</v>
      </c>
      <c r="B56" s="1"/>
      <c r="C56" s="7" t="n">
        <f aca="false">SUM(C57)</f>
        <v>0</v>
      </c>
      <c r="D56" s="7" t="n">
        <f aca="false">SUM(D57)</f>
        <v>0</v>
      </c>
      <c r="E56" s="7" t="n">
        <f aca="false">SUM(E57)</f>
        <v>0</v>
      </c>
      <c r="F56" s="7" t="n">
        <f aca="false">SUM(F57)</f>
        <v>0</v>
      </c>
      <c r="G56" s="7" t="n">
        <f aca="false">SUM(G57)</f>
        <v>0</v>
      </c>
      <c r="H56" s="7" t="n">
        <f aca="false">SUM(H57)</f>
        <v>0</v>
      </c>
      <c r="I56" s="7" t="n">
        <f aca="false">SUM(I57)</f>
        <v>0</v>
      </c>
      <c r="J56" s="7" t="n">
        <f aca="false">SUM(J57)</f>
        <v>0</v>
      </c>
      <c r="K56" s="7" t="n">
        <f aca="false">SUM(K57)</f>
        <v>0</v>
      </c>
      <c r="L56" s="7" t="n">
        <f aca="false">SUM(L57)</f>
        <v>0</v>
      </c>
      <c r="M56" s="7" t="n">
        <f aca="false">SUM(M57)</f>
        <v>0</v>
      </c>
      <c r="N56" s="7" t="n">
        <f aca="false">SUM(N57)</f>
        <v>0</v>
      </c>
      <c r="O56" s="7" t="n">
        <f aca="false">SUM(O57)</f>
        <v>0</v>
      </c>
      <c r="P56" s="7" t="n">
        <f aca="false">SUM(P57)</f>
        <v>0</v>
      </c>
    </row>
    <row r="57" s="9" customFormat="true" ht="15" hidden="false" customHeight="false" outlineLevel="0" collapsed="false">
      <c r="A57" s="9" t="s">
        <v>101</v>
      </c>
      <c r="B57" s="9" t="s">
        <v>102</v>
      </c>
    </row>
    <row r="58" s="8" customFormat="true" ht="13.8" hidden="false" customHeight="false" outlineLevel="0" collapsed="false">
      <c r="A58" s="1" t="s">
        <v>103</v>
      </c>
      <c r="B58" s="1"/>
      <c r="C58" s="7" t="n">
        <f aca="false">SUM(C59:C60)</f>
        <v>70700.89</v>
      </c>
      <c r="D58" s="7" t="n">
        <f aca="false">SUM(D59:D60)</f>
        <v>83506.14</v>
      </c>
      <c r="E58" s="7" t="n">
        <f aca="false">SUM(E59:E60)</f>
        <v>30684.98</v>
      </c>
      <c r="F58" s="7" t="n">
        <f aca="false">SUM(F59:F60)</f>
        <v>61560.88</v>
      </c>
      <c r="G58" s="7" t="n">
        <f aca="false">SUM(G59:G60)</f>
        <v>51524.23</v>
      </c>
      <c r="H58" s="7" t="n">
        <f aca="false">SUM(H59:H60)</f>
        <v>64956.32</v>
      </c>
      <c r="I58" s="7" t="n">
        <f aca="false">SUM(I59:I60)</f>
        <v>204836.66</v>
      </c>
      <c r="J58" s="7" t="n">
        <f aca="false">SUM(J59:J60)</f>
        <v>240793.56</v>
      </c>
      <c r="K58" s="7" t="n">
        <f aca="false">SUM(K59:K60)</f>
        <v>448116.08</v>
      </c>
      <c r="L58" s="7" t="n">
        <f aca="false">SUM(L59:L60)</f>
        <v>361132.8</v>
      </c>
      <c r="M58" s="7" t="n">
        <f aca="false">SUM(M59:M60)</f>
        <v>60954.75</v>
      </c>
      <c r="N58" s="7" t="n">
        <f aca="false">SUM(N59:N60)</f>
        <v>192062.71</v>
      </c>
      <c r="O58" s="7" t="n">
        <f aca="false">SUM(O59:O60)</f>
        <v>258493.26</v>
      </c>
      <c r="P58" s="7" t="n">
        <f aca="false">SUM(P59:P60)</f>
        <v>154208.56</v>
      </c>
    </row>
    <row r="59" s="9" customFormat="true" ht="15" hidden="false" customHeight="false" outlineLevel="0" collapsed="false">
      <c r="A59" s="9" t="s">
        <v>104</v>
      </c>
      <c r="B59" s="9" t="s">
        <v>105</v>
      </c>
      <c r="C59" s="9" t="n">
        <v>70700.89</v>
      </c>
      <c r="D59" s="9" t="n">
        <v>83506.14</v>
      </c>
      <c r="E59" s="9" t="n">
        <v>30684.98</v>
      </c>
      <c r="F59" s="9" t="n">
        <v>61560.88</v>
      </c>
      <c r="G59" s="9" t="n">
        <v>51524.23</v>
      </c>
      <c r="H59" s="9" t="n">
        <v>64956.32</v>
      </c>
      <c r="I59" s="9" t="n">
        <v>204836.66</v>
      </c>
      <c r="J59" s="9" t="n">
        <v>240793.56</v>
      </c>
      <c r="K59" s="9" t="n">
        <v>448116.08</v>
      </c>
      <c r="L59" s="9" t="n">
        <v>361132.8</v>
      </c>
      <c r="M59" s="9" t="n">
        <f aca="false">75517.5-14562.75</f>
        <v>60954.75</v>
      </c>
      <c r="N59" s="9" t="n">
        <v>192062.71</v>
      </c>
      <c r="O59" s="9" t="n">
        <v>258493.26</v>
      </c>
      <c r="P59" s="9" t="n">
        <f aca="false">180376.06-26167.5</f>
        <v>154208.56</v>
      </c>
    </row>
    <row r="60" customFormat="false" ht="15" hidden="false" customHeight="false" outlineLevel="0" collapsed="false">
      <c r="A60" s="9" t="s">
        <v>106</v>
      </c>
      <c r="B60" s="9" t="s">
        <v>107</v>
      </c>
    </row>
    <row r="61" s="8" customFormat="true" ht="13.8" hidden="false" customHeight="false" outlineLevel="0" collapsed="false">
      <c r="A61" s="1" t="s">
        <v>108</v>
      </c>
      <c r="B61" s="1"/>
      <c r="C61" s="7" t="n">
        <f aca="false">SUM(C62:C63)</f>
        <v>0</v>
      </c>
      <c r="D61" s="7" t="n">
        <f aca="false">SUM(D62:D63)</f>
        <v>0</v>
      </c>
      <c r="E61" s="7" t="n">
        <f aca="false">SUM(E62:E63)</f>
        <v>0</v>
      </c>
      <c r="F61" s="7" t="n">
        <f aca="false">SUM(F62:F63)</f>
        <v>0</v>
      </c>
      <c r="G61" s="7" t="n">
        <f aca="false">SUM(G62:G63)</f>
        <v>0</v>
      </c>
      <c r="H61" s="7" t="n">
        <f aca="false">SUM(H62:H63)</f>
        <v>0</v>
      </c>
      <c r="I61" s="7" t="n">
        <f aca="false">SUM(I62:I63)</f>
        <v>0</v>
      </c>
      <c r="J61" s="7" t="n">
        <f aca="false">SUM(J62:J63)</f>
        <v>0</v>
      </c>
      <c r="K61" s="7" t="n">
        <f aca="false">SUM(K62:K63)</f>
        <v>0</v>
      </c>
      <c r="L61" s="7" t="n">
        <f aca="false">SUM(L62:L63)</f>
        <v>0</v>
      </c>
      <c r="M61" s="7" t="n">
        <f aca="false">SUM(M62:M63)</f>
        <v>0</v>
      </c>
      <c r="N61" s="7" t="n">
        <f aca="false">SUM(N62:N63)</f>
        <v>0</v>
      </c>
      <c r="O61" s="7" t="n">
        <f aca="false">SUM(O62:O63)</f>
        <v>0</v>
      </c>
      <c r="P61" s="7" t="n">
        <f aca="false">SUM(P62:P63)</f>
        <v>0</v>
      </c>
    </row>
    <row r="62" s="9" customFormat="true" ht="15" hidden="false" customHeight="false" outlineLevel="0" collapsed="false">
      <c r="A62" s="9" t="s">
        <v>109</v>
      </c>
      <c r="B62" s="9" t="s">
        <v>110</v>
      </c>
    </row>
    <row r="63" s="9" customFormat="true" ht="15" hidden="false" customHeight="false" outlineLevel="0" collapsed="false">
      <c r="A63" s="9" t="s">
        <v>111</v>
      </c>
      <c r="B63" s="9" t="s">
        <v>112</v>
      </c>
    </row>
    <row r="64" s="8" customFormat="true" ht="13.8" hidden="false" customHeight="false" outlineLevel="0" collapsed="false">
      <c r="A64" s="1" t="s">
        <v>113</v>
      </c>
      <c r="B64" s="1"/>
      <c r="C64" s="7" t="n">
        <f aca="false">SUM(C65:C66)</f>
        <v>0</v>
      </c>
      <c r="D64" s="7" t="n">
        <f aca="false">SUM(D65:D66)</f>
        <v>0</v>
      </c>
      <c r="E64" s="7" t="n">
        <f aca="false">SUM(E65:E66)</f>
        <v>0</v>
      </c>
      <c r="F64" s="7" t="n">
        <f aca="false">SUM(F65:F66)</f>
        <v>0</v>
      </c>
      <c r="G64" s="7" t="n">
        <f aca="false">SUM(G65:G66)</f>
        <v>0</v>
      </c>
      <c r="H64" s="7" t="n">
        <f aca="false">SUM(H65:H66)</f>
        <v>0</v>
      </c>
      <c r="I64" s="7" t="n">
        <f aca="false">SUM(I65:I66)</f>
        <v>0</v>
      </c>
      <c r="J64" s="7" t="n">
        <f aca="false">SUM(J65:J66)</f>
        <v>0</v>
      </c>
      <c r="K64" s="7" t="n">
        <f aca="false">SUM(K65:K66)</f>
        <v>0</v>
      </c>
      <c r="L64" s="7" t="n">
        <f aca="false">SUM(L65:L66)</f>
        <v>0</v>
      </c>
      <c r="M64" s="7" t="n">
        <f aca="false">SUM(M65:M66)</f>
        <v>0</v>
      </c>
      <c r="N64" s="7" t="n">
        <f aca="false">SUM(N65:N66)</f>
        <v>0</v>
      </c>
      <c r="O64" s="7" t="n">
        <f aca="false">SUM(O65:O66)</f>
        <v>0</v>
      </c>
      <c r="P64" s="7" t="n">
        <f aca="false">SUM(P65:P66)</f>
        <v>0</v>
      </c>
    </row>
    <row r="65" s="9" customFormat="true" ht="15" hidden="false" customHeight="false" outlineLevel="0" collapsed="false">
      <c r="A65" s="9" t="s">
        <v>114</v>
      </c>
      <c r="B65" s="9" t="s">
        <v>115</v>
      </c>
    </row>
    <row r="66" s="9" customFormat="true" ht="15" hidden="false" customHeight="false" outlineLevel="0" collapsed="false">
      <c r="A66" s="9" t="s">
        <v>116</v>
      </c>
      <c r="B66" s="9" t="s">
        <v>117</v>
      </c>
    </row>
    <row r="67" s="8" customFormat="true" ht="13.8" hidden="false" customHeight="false" outlineLevel="0" collapsed="false">
      <c r="A67" s="1" t="s">
        <v>118</v>
      </c>
      <c r="B67" s="1"/>
      <c r="C67" s="7" t="n">
        <f aca="false">SUM(C68,C71:C74)-SUM(C69:C70)</f>
        <v>0</v>
      </c>
      <c r="D67" s="7" t="n">
        <f aca="false">SUM(D68,D71:D74)-SUM(D69:D70)</f>
        <v>0</v>
      </c>
      <c r="E67" s="7" t="n">
        <f aca="false">SUM(E68,E71:E74)-SUM(E69:E70)</f>
        <v>0</v>
      </c>
      <c r="F67" s="7" t="n">
        <f aca="false">SUM(F68,F71:F74)-SUM(F69:F70)</f>
        <v>0</v>
      </c>
      <c r="G67" s="7" t="n">
        <f aca="false">SUM(G68,G71:G74)-SUM(G69:G70)</f>
        <v>0</v>
      </c>
      <c r="H67" s="7" t="n">
        <f aca="false">SUM(H68,H71:H74)-SUM(H69:H70)</f>
        <v>0</v>
      </c>
      <c r="I67" s="7" t="n">
        <f aca="false">SUM(I68,I71:I74)-SUM(I69:I70)</f>
        <v>0</v>
      </c>
      <c r="J67" s="7" t="n">
        <f aca="false">SUM(J68,J71:J74)-SUM(J69:J70)</f>
        <v>0</v>
      </c>
      <c r="K67" s="7" t="n">
        <f aca="false">SUM(K68,K71:K74)-SUM(K69:K70)</f>
        <v>0</v>
      </c>
      <c r="L67" s="7" t="n">
        <f aca="false">SUM(L68,L71:L74)-SUM(L69:L70)</f>
        <v>0</v>
      </c>
      <c r="M67" s="7" t="n">
        <f aca="false">SUM(M68,M71:M74)-SUM(M69:M70)</f>
        <v>0</v>
      </c>
      <c r="N67" s="7" t="n">
        <f aca="false">SUM(N68,N71:N74)-SUM(N69:N70)</f>
        <v>0</v>
      </c>
      <c r="O67" s="7" t="n">
        <f aca="false">SUM(O68,O71:O74)-SUM(O69:O70)</f>
        <v>0</v>
      </c>
      <c r="P67" s="7" t="n">
        <f aca="false">SUM(P68,P71:P74)-SUM(P69:P70)</f>
        <v>0</v>
      </c>
    </row>
    <row r="68" s="9" customFormat="true" ht="15" hidden="false" customHeight="false" outlineLevel="0" collapsed="false">
      <c r="A68" s="9" t="s">
        <v>119</v>
      </c>
      <c r="B68" s="9" t="s">
        <v>120</v>
      </c>
    </row>
    <row r="69" s="9" customFormat="true" ht="15" hidden="false" customHeight="false" outlineLevel="0" collapsed="false">
      <c r="A69" s="9" t="s">
        <v>121</v>
      </c>
      <c r="B69" s="9" t="s">
        <v>122</v>
      </c>
    </row>
    <row r="70" s="9" customFormat="true" ht="15" hidden="false" customHeight="false" outlineLevel="0" collapsed="false">
      <c r="A70" s="9" t="s">
        <v>123</v>
      </c>
      <c r="B70" s="9" t="s">
        <v>124</v>
      </c>
    </row>
    <row r="71" s="9" customFormat="true" ht="15" hidden="false" customHeight="false" outlineLevel="0" collapsed="false">
      <c r="A71" s="9" t="s">
        <v>125</v>
      </c>
      <c r="B71" s="9" t="s">
        <v>126</v>
      </c>
    </row>
    <row r="72" s="9" customFormat="true" ht="15" hidden="false" customHeight="false" outlineLevel="0" collapsed="false">
      <c r="A72" s="9" t="s">
        <v>127</v>
      </c>
      <c r="B72" s="9" t="s">
        <v>128</v>
      </c>
    </row>
    <row r="73" s="9" customFormat="true" ht="15" hidden="false" customHeight="false" outlineLevel="0" collapsed="false">
      <c r="A73" s="9" t="s">
        <v>129</v>
      </c>
      <c r="B73" s="9" t="s">
        <v>130</v>
      </c>
    </row>
    <row r="74" s="9" customFormat="true" ht="15" hidden="false" customHeight="false" outlineLevel="0" collapsed="false">
      <c r="A74" s="9" t="s">
        <v>131</v>
      </c>
      <c r="B74" s="9" t="s">
        <v>132</v>
      </c>
    </row>
    <row r="75" s="8" customFormat="true" ht="15" hidden="false" customHeight="false" outlineLevel="0" collapsed="false">
      <c r="A75" s="1" t="s">
        <v>133</v>
      </c>
      <c r="B75" s="1"/>
      <c r="D75" s="8" t="n">
        <v>27766.71</v>
      </c>
      <c r="E75" s="8" t="n">
        <v>24096.64</v>
      </c>
      <c r="F75" s="8" t="n">
        <v>17679.22</v>
      </c>
      <c r="G75" s="8" t="n">
        <v>23622.94</v>
      </c>
      <c r="H75" s="8" t="n">
        <v>60260.4</v>
      </c>
      <c r="I75" s="8" t="n">
        <v>-6727.16</v>
      </c>
      <c r="J75" s="8" t="n">
        <v>50273.29</v>
      </c>
      <c r="K75" s="8" t="n">
        <f aca="false">-200576.39+218784.62</f>
        <v>18208.23</v>
      </c>
      <c r="L75" s="8" t="n">
        <f aca="false">-223004.65+240276.24</f>
        <v>17271.59</v>
      </c>
      <c r="M75" s="8" t="n">
        <f aca="false">-209875.56+281790.04</f>
        <v>71914.48</v>
      </c>
      <c r="N75" s="8" t="n">
        <f aca="false">-179120.48+191710.22</f>
        <v>12589.74</v>
      </c>
      <c r="O75" s="8" t="n">
        <f aca="false">183168.89-174079.71</f>
        <v>9089.18000000002</v>
      </c>
      <c r="P75" s="8" t="n">
        <v>42547.9</v>
      </c>
    </row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P27"/>
  <sheetViews>
    <sheetView windowProtection="tru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5" topLeftCell="P6" activePane="bottomRight" state="frozen"/>
      <selection pane="topLeft" activeCell="A1" activeCellId="0" sqref="A1"/>
      <selection pane="topRight" activeCell="P1" activeCellId="0" sqref="P1"/>
      <selection pane="bottomLeft" activeCell="A6" activeCellId="0" sqref="A6"/>
      <selection pane="bottomRight" activeCell="P14" activeCellId="0" sqref="P14"/>
    </sheetView>
  </sheetViews>
  <sheetFormatPr defaultRowHeight="15"/>
  <cols>
    <col collapsed="false" hidden="false" max="1" min="1" style="0" width="83.8744939271255"/>
    <col collapsed="false" hidden="false" max="2" min="2" style="0" width="21.9595141700405"/>
    <col collapsed="false" hidden="false" max="13" min="3" style="0" width="11.6761133603239"/>
    <col collapsed="false" hidden="false" max="14" min="14" style="0" width="14.5668016194332"/>
    <col collapsed="false" hidden="false" max="15" min="15" style="0" width="14.3522267206478"/>
    <col collapsed="false" hidden="false" max="16" min="16" style="0" width="14.2550607287449"/>
    <col collapsed="false" hidden="false" max="1025" min="17" style="0" width="8.57085020242915"/>
  </cols>
  <sheetData>
    <row r="1" customFormat="false" ht="15" hidden="false" customHeight="false" outlineLevel="0" collapsed="false">
      <c r="A1" s="1" t="s">
        <v>134</v>
      </c>
    </row>
    <row r="2" s="1" customFormat="true" ht="13.8" hidden="false" customHeight="false" outlineLevel="0" collapsed="false">
      <c r="A2" s="1" t="s">
        <v>5</v>
      </c>
      <c r="C2" s="2" t="n">
        <v>42186</v>
      </c>
      <c r="D2" s="2" t="n">
        <v>42217</v>
      </c>
      <c r="E2" s="2" t="n">
        <v>42248</v>
      </c>
      <c r="F2" s="2" t="n">
        <v>42278</v>
      </c>
      <c r="G2" s="2" t="n">
        <v>42309</v>
      </c>
      <c r="H2" s="2" t="n">
        <v>42339</v>
      </c>
      <c r="I2" s="2" t="n">
        <v>42370</v>
      </c>
      <c r="J2" s="2" t="n">
        <v>42401</v>
      </c>
      <c r="K2" s="2" t="n">
        <v>42430</v>
      </c>
      <c r="L2" s="2" t="n">
        <v>42461</v>
      </c>
      <c r="M2" s="2" t="n">
        <v>42491</v>
      </c>
      <c r="N2" s="2" t="n">
        <v>42522</v>
      </c>
      <c r="O2" s="2" t="n">
        <v>42552</v>
      </c>
      <c r="P2" s="2" t="n">
        <v>42583</v>
      </c>
    </row>
    <row r="3" s="3" customFormat="true" ht="13.8" hidden="false" customHeight="false" outlineLevel="0" collapsed="false">
      <c r="A3" s="1" t="s">
        <v>6</v>
      </c>
      <c r="B3" s="1"/>
      <c r="N3" s="4" t="n">
        <f aca="false">IF(N19&gt;0,N4/N5,"")</f>
        <v>0.539138056844578</v>
      </c>
      <c r="O3" s="4" t="n">
        <f aca="false">IF(O19&gt;0,O4/O5,"")</f>
        <v>0.539224087962122</v>
      </c>
      <c r="P3" s="4" t="n">
        <f aca="false">IF(P19&gt;0,P4/P5,"")</f>
        <v>0.532892573109045</v>
      </c>
    </row>
    <row r="4" s="6" customFormat="true" ht="13.8" hidden="false" customHeight="false" outlineLevel="0" collapsed="false">
      <c r="A4" s="1" t="s">
        <v>7</v>
      </c>
      <c r="B4" s="1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5" t="n">
        <f aca="false">SUM(C7:N7)</f>
        <v>9950689.21</v>
      </c>
      <c r="O4" s="5" t="n">
        <f aca="false">SUM(D7:O7)</f>
        <v>10056459.81</v>
      </c>
      <c r="P4" s="5" t="n">
        <f aca="false">SUM(E7:P7)</f>
        <v>10108770.46</v>
      </c>
    </row>
    <row r="5" s="8" customFormat="true" ht="13.8" hidden="false" customHeight="false" outlineLevel="0" collapsed="false">
      <c r="A5" s="1" t="s">
        <v>8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7" t="n">
        <f aca="false">SUM(C19:N19)</f>
        <v>18456662.6</v>
      </c>
      <c r="O5" s="7" t="n">
        <f aca="false">SUM(D19:O19)</f>
        <v>18649871.24</v>
      </c>
      <c r="P5" s="7" t="n">
        <f aca="false">SUM(E19:P19)</f>
        <v>18969621.59</v>
      </c>
    </row>
    <row r="7" s="8" customFormat="true" ht="13.8" hidden="false" customHeight="false" outlineLevel="0" collapsed="false">
      <c r="A7" s="1" t="s">
        <v>9</v>
      </c>
      <c r="B7" s="1" t="s">
        <v>135</v>
      </c>
      <c r="C7" s="7" t="n">
        <f aca="false">C8-C9</f>
        <v>715215.81</v>
      </c>
      <c r="D7" s="7" t="n">
        <f aca="false">D8-D9</f>
        <v>723875.33</v>
      </c>
      <c r="E7" s="7" t="n">
        <f aca="false">E8-E9</f>
        <v>726315.81</v>
      </c>
      <c r="F7" s="7" t="n">
        <f aca="false">F8-F9</f>
        <v>756180.94</v>
      </c>
      <c r="G7" s="7" t="n">
        <f aca="false">G8-G9</f>
        <v>732006.3</v>
      </c>
      <c r="H7" s="7" t="n">
        <f aca="false">H8-H9</f>
        <v>1402374.52</v>
      </c>
      <c r="I7" s="7" t="n">
        <f aca="false">I8-I9</f>
        <v>846485.08</v>
      </c>
      <c r="J7" s="7" t="n">
        <f aca="false">J8-J9</f>
        <v>831864.81</v>
      </c>
      <c r="K7" s="7" t="n">
        <f aca="false">K8-K9</f>
        <v>773719.38</v>
      </c>
      <c r="L7" s="7" t="n">
        <f aca="false">L8-L9</f>
        <v>808107.16</v>
      </c>
      <c r="M7" s="7" t="n">
        <f aca="false">M8-M9</f>
        <v>788033.71</v>
      </c>
      <c r="N7" s="7" t="n">
        <f aca="false">N8-N9</f>
        <v>846510.36</v>
      </c>
      <c r="O7" s="7" t="n">
        <f aca="false">O8-O9</f>
        <v>820986.41</v>
      </c>
      <c r="P7" s="7" t="n">
        <f aca="false">P8-P9</f>
        <v>776185.98</v>
      </c>
    </row>
    <row r="8" s="8" customFormat="true" ht="13.8" hidden="false" customHeight="false" outlineLevel="0" collapsed="false">
      <c r="A8" s="1" t="s">
        <v>11</v>
      </c>
      <c r="B8" s="1" t="s">
        <v>12</v>
      </c>
      <c r="C8" s="7" t="n">
        <f aca="false">TCERS!C8</f>
        <v>784063.29</v>
      </c>
      <c r="D8" s="7" t="n">
        <f aca="false">TCERS!D8</f>
        <v>792722.81</v>
      </c>
      <c r="E8" s="7" t="n">
        <f aca="false">TCERS!E8</f>
        <v>795163.29</v>
      </c>
      <c r="F8" s="7" t="n">
        <f aca="false">TCERS!F8</f>
        <v>825028.42</v>
      </c>
      <c r="G8" s="7" t="n">
        <f aca="false">TCERS!G8</f>
        <v>800853.78</v>
      </c>
      <c r="H8" s="7" t="n">
        <f aca="false">TCERS!H8</f>
        <v>1541354.6</v>
      </c>
      <c r="I8" s="7" t="n">
        <f aca="false">TCERS!I8</f>
        <v>950180.06</v>
      </c>
      <c r="J8" s="7" t="n">
        <f aca="false">TCERS!J8</f>
        <v>944216.23</v>
      </c>
      <c r="K8" s="7" t="n">
        <f aca="false">TCERS!K8</f>
        <v>883913.86</v>
      </c>
      <c r="L8" s="7" t="n">
        <f aca="false">TCERS!L8</f>
        <v>918301.64</v>
      </c>
      <c r="M8" s="7" t="n">
        <f aca="false">TCERS!M8</f>
        <v>898228.19</v>
      </c>
      <c r="N8" s="7" t="n">
        <f aca="false">TCERS!N8</f>
        <v>957114.77</v>
      </c>
      <c r="O8" s="7" t="n">
        <f aca="false">TCERS!O8</f>
        <v>939290.47</v>
      </c>
      <c r="P8" s="7" t="n">
        <f aca="false">TCERS!P8</f>
        <v>895845.18</v>
      </c>
    </row>
    <row r="9" s="8" customFormat="true" ht="13.8" hidden="false" customHeight="false" outlineLevel="0" collapsed="false">
      <c r="A9" s="1" t="s">
        <v>136</v>
      </c>
      <c r="B9" s="1"/>
      <c r="C9" s="7" t="n">
        <f aca="false">SUM(C10:C17)</f>
        <v>68847.48</v>
      </c>
      <c r="D9" s="7" t="n">
        <f aca="false">SUM(D10:D17)</f>
        <v>68847.48</v>
      </c>
      <c r="E9" s="7" t="n">
        <f aca="false">SUM(E10:E17)</f>
        <v>68847.48</v>
      </c>
      <c r="F9" s="7" t="n">
        <f aca="false">SUM(F10:F17)</f>
        <v>68847.48</v>
      </c>
      <c r="G9" s="7" t="n">
        <f aca="false">SUM(G10:G17)</f>
        <v>68847.48</v>
      </c>
      <c r="H9" s="7" t="n">
        <f aca="false">SUM(H10:H17)</f>
        <v>138980.08</v>
      </c>
      <c r="I9" s="7" t="n">
        <f aca="false">SUM(I10:I17)</f>
        <v>103694.98</v>
      </c>
      <c r="J9" s="7" t="n">
        <f aca="false">SUM(J10:J17)</f>
        <v>112351.42</v>
      </c>
      <c r="K9" s="7" t="n">
        <f aca="false">SUM(K10:K17)</f>
        <v>110194.48</v>
      </c>
      <c r="L9" s="7" t="n">
        <f aca="false">SUM(L10:L17)</f>
        <v>110194.48</v>
      </c>
      <c r="M9" s="7" t="n">
        <f aca="false">SUM(M10:M17)</f>
        <v>110194.48</v>
      </c>
      <c r="N9" s="7" t="n">
        <f aca="false">SUM(N10:N17)</f>
        <v>110604.41</v>
      </c>
      <c r="O9" s="7" t="n">
        <f aca="false">SUM(O10:O17)</f>
        <v>118304.06</v>
      </c>
      <c r="P9" s="7" t="n">
        <f aca="false">SUM(P10:P17)</f>
        <v>119659.2</v>
      </c>
    </row>
    <row r="10" s="9" customFormat="true" ht="13.8" hidden="false" customHeight="false" outlineLevel="0" collapsed="false">
      <c r="A10" s="9" t="s">
        <v>38</v>
      </c>
    </row>
    <row r="11" s="9" customFormat="true" ht="13.8" hidden="false" customHeight="false" outlineLevel="0" collapsed="false">
      <c r="A11" s="9" t="s">
        <v>137</v>
      </c>
    </row>
    <row r="12" s="9" customFormat="true" ht="13.8" hidden="false" customHeight="false" outlineLevel="0" collapsed="false">
      <c r="A12" s="9" t="s">
        <v>138</v>
      </c>
    </row>
    <row r="13" s="9" customFormat="true" ht="13.8" hidden="false" customHeight="false" outlineLevel="0" collapsed="false">
      <c r="A13" s="9" t="s">
        <v>139</v>
      </c>
    </row>
    <row r="14" customFormat="false" ht="13.8" hidden="false" customHeight="false" outlineLevel="0" collapsed="false">
      <c r="A14" s="9" t="s">
        <v>140</v>
      </c>
      <c r="B14" s="9"/>
      <c r="C14" s="11" t="n">
        <f aca="false">57711.23+11136.25</f>
        <v>68847.48</v>
      </c>
      <c r="D14" s="11" t="n">
        <f aca="false">57711.23+11136.25</f>
        <v>68847.48</v>
      </c>
      <c r="E14" s="11" t="n">
        <f aca="false">57711.23+11136.25</f>
        <v>68847.48</v>
      </c>
      <c r="F14" s="11" t="n">
        <f aca="false">57711.23+11136.25</f>
        <v>68847.48</v>
      </c>
      <c r="G14" s="11" t="n">
        <f aca="false">57711.23+11136.25</f>
        <v>68847.48</v>
      </c>
      <c r="H14" s="11" t="n">
        <f aca="false">116707.58+22272.5</f>
        <v>138980.08</v>
      </c>
      <c r="I14" s="11" t="n">
        <f aca="false">77284.95+26410.03</f>
        <v>103694.98</v>
      </c>
      <c r="J14" s="11" t="n">
        <f aca="false">81897.21+30454.21</f>
        <v>112351.42</v>
      </c>
      <c r="K14" s="11" t="n">
        <f aca="false">79860.1+30334.38</f>
        <v>110194.48</v>
      </c>
      <c r="L14" s="11" t="n">
        <f aca="false">79860.1+30334.38</f>
        <v>110194.48</v>
      </c>
      <c r="M14" s="11" t="n">
        <f aca="false">79860.1+30334.38</f>
        <v>110194.48</v>
      </c>
      <c r="N14" s="11" t="n">
        <f aca="false">79860.1+30744.31</f>
        <v>110604.41</v>
      </c>
      <c r="O14" s="11" t="n">
        <f aca="false">80625.97+37678.09</f>
        <v>118304.06</v>
      </c>
      <c r="P14" s="11" t="n">
        <f aca="false">78832.16+40827.04</f>
        <v>119659.2</v>
      </c>
    </row>
    <row r="15" customFormat="false" ht="13.8" hidden="false" customHeight="false" outlineLevel="0" collapsed="false">
      <c r="A15" s="9" t="s">
        <v>141</v>
      </c>
      <c r="B15" s="9"/>
    </row>
    <row r="16" customFormat="false" ht="13.8" hidden="false" customHeight="false" outlineLevel="0" collapsed="false">
      <c r="A16" s="9" t="s">
        <v>142</v>
      </c>
      <c r="B16" s="9"/>
    </row>
    <row r="17" customFormat="false" ht="13.8" hidden="false" customHeight="false" outlineLevel="0" collapsed="false">
      <c r="A17" s="9" t="s">
        <v>52</v>
      </c>
      <c r="B17" s="9"/>
      <c r="D17" s="9"/>
      <c r="E17" s="9"/>
      <c r="G17" s="9"/>
      <c r="H17" s="9"/>
      <c r="I17" s="9"/>
      <c r="J17" s="9"/>
    </row>
    <row r="18" customFormat="false" ht="13.8" hidden="false" customHeight="false" outlineLevel="0" collapsed="false">
      <c r="B18" s="9"/>
    </row>
    <row r="19" s="8" customFormat="true" ht="13.8" hidden="false" customHeight="false" outlineLevel="0" collapsed="false">
      <c r="A19" s="1" t="s">
        <v>78</v>
      </c>
      <c r="B19" s="1" t="s">
        <v>143</v>
      </c>
      <c r="C19" s="7" t="n">
        <f aca="false">C20-C21-C22-C25-C27</f>
        <v>1426338.26</v>
      </c>
      <c r="D19" s="7" t="n">
        <f aca="false">D20-D21-D22-D25-D27</f>
        <v>1199668.7</v>
      </c>
      <c r="E19" s="7" t="n">
        <f aca="false">E20-E21-E22-E25-E27</f>
        <v>1300222.43</v>
      </c>
      <c r="F19" s="7" t="n">
        <f aca="false">F20-F21-F22-F25-F27</f>
        <v>1259316.98</v>
      </c>
      <c r="G19" s="7" t="n">
        <f aca="false">G20-G21-G22-G25-G27</f>
        <v>1206545.44</v>
      </c>
      <c r="H19" s="7" t="n">
        <f aca="false">H20-H21-H22-H25-H27</f>
        <v>1912786.64</v>
      </c>
      <c r="I19" s="7" t="n">
        <f aca="false">I20-I21-I22-I25-I27</f>
        <v>1547302.38</v>
      </c>
      <c r="J19" s="7" t="n">
        <f aca="false">J20-J21-J22-J25-J27</f>
        <v>1593866.56</v>
      </c>
      <c r="K19" s="7" t="n">
        <f aca="false">K20-K21-K22-K25-K27</f>
        <v>1739251.65</v>
      </c>
      <c r="L19" s="7" t="n">
        <f aca="false">L20-L21-L22-L25-L27</f>
        <v>1815392.36</v>
      </c>
      <c r="M19" s="7" t="n">
        <f aca="false">M20-M21-M22-M25-M27</f>
        <v>1851533.89</v>
      </c>
      <c r="N19" s="7" t="n">
        <f aca="false">N20-N21-N22-N25-N27</f>
        <v>1604437.31</v>
      </c>
      <c r="O19" s="7" t="n">
        <f aca="false">O20-O21-O22-O25-O27</f>
        <v>1619546.9</v>
      </c>
      <c r="P19" s="7" t="n">
        <f aca="false">P20-P21-P22-P25-P27</f>
        <v>1519419.05</v>
      </c>
    </row>
    <row r="20" s="8" customFormat="true" ht="13.8" hidden="false" customHeight="false" outlineLevel="0" collapsed="false">
      <c r="A20" s="1" t="s">
        <v>80</v>
      </c>
      <c r="B20" s="1" t="s">
        <v>81</v>
      </c>
      <c r="C20" s="7" t="n">
        <f aca="false">TCERS!C45</f>
        <v>1645089.9</v>
      </c>
      <c r="D20" s="7" t="n">
        <f aca="false">TCERS!D45</f>
        <v>1428374.83</v>
      </c>
      <c r="E20" s="7" t="n">
        <f aca="false">TCERS!E45</f>
        <v>1563079.37</v>
      </c>
      <c r="F20" s="7" t="n">
        <f aca="false">TCERS!F45</f>
        <v>1480372.32</v>
      </c>
      <c r="G20" s="7" t="n">
        <f aca="false">TCERS!G45</f>
        <v>1435060.36</v>
      </c>
      <c r="H20" s="7" t="n">
        <f aca="false">TCERS!H45</f>
        <v>2315791.53</v>
      </c>
      <c r="I20" s="7" t="n">
        <f aca="false">TCERS!I45</f>
        <v>1758397.95</v>
      </c>
      <c r="J20" s="7" t="n">
        <f aca="false">TCERS!J45</f>
        <v>1888341.41</v>
      </c>
      <c r="K20" s="7" t="n">
        <f aca="false">TCERS!K45</f>
        <v>2020714.25</v>
      </c>
      <c r="L20" s="7" t="n">
        <f aca="false">TCERS!L45</f>
        <v>2111521.46</v>
      </c>
      <c r="M20" s="7" t="n">
        <f aca="false">TCERS!M45</f>
        <v>2210806.52</v>
      </c>
      <c r="N20" s="7" t="n">
        <f aca="false">TCERS!N45</f>
        <v>1869631.35</v>
      </c>
      <c r="O20" s="7" t="n">
        <f aca="false">TCERS!O45</f>
        <v>1854871.25</v>
      </c>
      <c r="P20" s="7" t="n">
        <f aca="false">TCERS!P45</f>
        <v>1824460.25</v>
      </c>
    </row>
    <row r="21" s="8" customFormat="true" ht="13.8" hidden="false" customHeight="false" outlineLevel="0" collapsed="false">
      <c r="A21" s="1" t="s">
        <v>144</v>
      </c>
      <c r="B21" s="1" t="s">
        <v>83</v>
      </c>
      <c r="C21" s="7" t="n">
        <f aca="false">TCERS!C46-C27</f>
        <v>6515.57000000001</v>
      </c>
      <c r="D21" s="7" t="n">
        <f aca="false">TCERS!D46-D27</f>
        <v>1907.16</v>
      </c>
      <c r="E21" s="7" t="n">
        <f aca="false">TCERS!E46-E27</f>
        <v>21840.4699999999</v>
      </c>
      <c r="F21" s="7" t="n">
        <f aca="false">TCERS!F46-F27</f>
        <v>540.670000000013</v>
      </c>
      <c r="G21" s="7" t="n">
        <f aca="false">TCERS!G46-G27</f>
        <v>0</v>
      </c>
      <c r="H21" s="7" t="n">
        <f aca="false">TCERS!H46-H27</f>
        <v>177.169999999984</v>
      </c>
      <c r="I21" s="7" t="n">
        <f aca="false">TCERS!I46-I27</f>
        <v>0</v>
      </c>
      <c r="J21" s="7" t="n">
        <f aca="false">TCERS!J46-J27</f>
        <v>2133.73999999999</v>
      </c>
      <c r="K21" s="7" t="n">
        <f aca="false">TCERS!K46-K27</f>
        <v>10882.35</v>
      </c>
      <c r="L21" s="7" t="n">
        <f aca="false">TCERS!L46-L27</f>
        <v>0</v>
      </c>
      <c r="M21" s="7" t="n">
        <f aca="false">TCERS!M46-M27</f>
        <v>26593.59</v>
      </c>
      <c r="N21" s="7" t="n">
        <f aca="false">TCERS!N46-N27</f>
        <v>22403.24</v>
      </c>
      <c r="O21" s="7" t="n">
        <f aca="false">TCERS!O46-O27</f>
        <v>0</v>
      </c>
      <c r="P21" s="7" t="n">
        <f aca="false">TCERS!P46-P27</f>
        <v>26203.5</v>
      </c>
    </row>
    <row r="22" s="8" customFormat="true" ht="13.8" hidden="false" customHeight="false" outlineLevel="0" collapsed="false">
      <c r="A22" s="1" t="s">
        <v>145</v>
      </c>
      <c r="B22" s="1"/>
      <c r="C22" s="7" t="n">
        <f aca="false">SUM(C23:C24)</f>
        <v>46660.27</v>
      </c>
      <c r="D22" s="7" t="n">
        <f aca="false">SUM(D23:D24)</f>
        <v>45040.9</v>
      </c>
      <c r="E22" s="7" t="n">
        <f aca="false">SUM(E23:E24)</f>
        <v>45375.29</v>
      </c>
      <c r="F22" s="7" t="n">
        <f aca="false">SUM(F23:F24)</f>
        <v>45081.3</v>
      </c>
      <c r="G22" s="7" t="n">
        <f aca="false">SUM(G23:G24)</f>
        <v>45763.08</v>
      </c>
      <c r="H22" s="7" t="n">
        <f aca="false">SUM(H23:H24)</f>
        <v>136780.42</v>
      </c>
      <c r="I22" s="7" t="n">
        <f aca="false">SUM(I23:I24)</f>
        <v>0</v>
      </c>
      <c r="J22" s="7" t="n">
        <f aca="false">SUM(J23:J24)</f>
        <v>58907.16</v>
      </c>
      <c r="K22" s="7" t="n">
        <f aca="false">SUM(K23:K24)</f>
        <v>51795.63</v>
      </c>
      <c r="L22" s="7" t="n">
        <f aca="false">SUM(L23:L24)</f>
        <v>50454.9</v>
      </c>
      <c r="M22" s="7" t="n">
        <f aca="false">SUM(M23:M24)</f>
        <v>50889</v>
      </c>
      <c r="N22" s="7" t="n">
        <f aca="false">SUM(N23:N24)</f>
        <v>51080.58</v>
      </c>
      <c r="O22" s="7" t="n">
        <f aca="false">SUM(O23:O24)</f>
        <v>52155.46</v>
      </c>
      <c r="P22" s="7" t="n">
        <f aca="false">SUM(P23:P24)</f>
        <v>52921.44</v>
      </c>
    </row>
    <row r="23" s="9" customFormat="true" ht="13.8" hidden="false" customHeight="false" outlineLevel="0" collapsed="false">
      <c r="A23" s="9" t="s">
        <v>96</v>
      </c>
      <c r="B23" s="9" t="s">
        <v>97</v>
      </c>
      <c r="C23" s="12" t="n">
        <f aca="false">TCERS!C54</f>
        <v>0</v>
      </c>
      <c r="D23" s="12" t="n">
        <f aca="false">TCERS!D54</f>
        <v>0</v>
      </c>
      <c r="E23" s="12" t="n">
        <f aca="false">TCERS!E54</f>
        <v>0</v>
      </c>
      <c r="F23" s="12" t="n">
        <f aca="false">TCERS!F54</f>
        <v>0</v>
      </c>
      <c r="G23" s="12" t="n">
        <f aca="false">TCERS!G54</f>
        <v>0</v>
      </c>
      <c r="H23" s="12" t="n">
        <f aca="false">TCERS!H54</f>
        <v>0</v>
      </c>
      <c r="I23" s="12" t="n">
        <f aca="false">TCERS!I54</f>
        <v>0</v>
      </c>
      <c r="J23" s="12" t="n">
        <f aca="false">TCERS!J54</f>
        <v>0</v>
      </c>
      <c r="K23" s="12" t="n">
        <f aca="false">TCERS!K54</f>
        <v>0</v>
      </c>
      <c r="L23" s="12" t="n">
        <f aca="false">TCERS!L54</f>
        <v>0</v>
      </c>
      <c r="M23" s="12" t="n">
        <f aca="false">TCERS!M54</f>
        <v>0</v>
      </c>
      <c r="N23" s="12" t="n">
        <f aca="false">TCERS!N54</f>
        <v>0</v>
      </c>
      <c r="O23" s="12" t="n">
        <f aca="false">TCERS!O54</f>
        <v>0</v>
      </c>
      <c r="P23" s="12" t="n">
        <f aca="false">TCERS!P54</f>
        <v>0</v>
      </c>
    </row>
    <row r="24" s="9" customFormat="true" ht="13.8" hidden="false" customHeight="false" outlineLevel="0" collapsed="false">
      <c r="A24" s="9" t="s">
        <v>98</v>
      </c>
      <c r="B24" s="9" t="s">
        <v>99</v>
      </c>
      <c r="C24" s="12" t="n">
        <f aca="false">TCERS!C55</f>
        <v>46660.27</v>
      </c>
      <c r="D24" s="12" t="n">
        <f aca="false">TCERS!D55</f>
        <v>45040.9</v>
      </c>
      <c r="E24" s="12" t="n">
        <f aca="false">TCERS!E55</f>
        <v>45375.29</v>
      </c>
      <c r="F24" s="12" t="n">
        <f aca="false">TCERS!F55</f>
        <v>45081.3</v>
      </c>
      <c r="G24" s="12" t="n">
        <f aca="false">TCERS!G55</f>
        <v>45763.08</v>
      </c>
      <c r="H24" s="12" t="n">
        <f aca="false">TCERS!H55</f>
        <v>136780.42</v>
      </c>
      <c r="I24" s="12" t="n">
        <f aca="false">TCERS!I55</f>
        <v>0</v>
      </c>
      <c r="J24" s="12" t="n">
        <f aca="false">TCERS!J55</f>
        <v>58907.16</v>
      </c>
      <c r="K24" s="12" t="n">
        <f aca="false">TCERS!K55</f>
        <v>51795.63</v>
      </c>
      <c r="L24" s="12" t="n">
        <f aca="false">TCERS!L55</f>
        <v>50454.9</v>
      </c>
      <c r="M24" s="12" t="n">
        <f aca="false">TCERS!M55</f>
        <v>50889</v>
      </c>
      <c r="N24" s="12" t="n">
        <f aca="false">TCERS!N55</f>
        <v>51080.58</v>
      </c>
      <c r="O24" s="12" t="n">
        <f aca="false">TCERS!O55</f>
        <v>52155.46</v>
      </c>
      <c r="P24" s="12" t="n">
        <f aca="false">TCERS!P55</f>
        <v>52921.44</v>
      </c>
    </row>
    <row r="25" s="8" customFormat="true" ht="13.8" hidden="false" customHeight="false" outlineLevel="0" collapsed="false">
      <c r="A25" s="1" t="s">
        <v>146</v>
      </c>
      <c r="B25" s="1"/>
      <c r="C25" s="7" t="n">
        <f aca="false">SUM(C26)</f>
        <v>0</v>
      </c>
      <c r="D25" s="7" t="n">
        <f aca="false">SUM(D26)</f>
        <v>0</v>
      </c>
      <c r="E25" s="7" t="n">
        <f aca="false">SUM(E26)</f>
        <v>0</v>
      </c>
      <c r="F25" s="7" t="n">
        <f aca="false">SUM(F26)</f>
        <v>0</v>
      </c>
      <c r="G25" s="7" t="n">
        <f aca="false">SUM(G26)</f>
        <v>0</v>
      </c>
      <c r="H25" s="7" t="n">
        <f aca="false">SUM(H26)</f>
        <v>0</v>
      </c>
      <c r="I25" s="7" t="n">
        <f aca="false">SUM(I26)</f>
        <v>0</v>
      </c>
      <c r="J25" s="7" t="n">
        <f aca="false">SUM(J26)</f>
        <v>0</v>
      </c>
      <c r="K25" s="7" t="n">
        <f aca="false">SUM(K26)</f>
        <v>0</v>
      </c>
      <c r="L25" s="7" t="n">
        <f aca="false">SUM(L26)</f>
        <v>0</v>
      </c>
      <c r="M25" s="7" t="n">
        <f aca="false">SUM(M26)</f>
        <v>0</v>
      </c>
      <c r="N25" s="7" t="n">
        <f aca="false">SUM(N26)</f>
        <v>0</v>
      </c>
      <c r="O25" s="7" t="n">
        <f aca="false">SUM(O26)</f>
        <v>0</v>
      </c>
      <c r="P25" s="7" t="n">
        <f aca="false">SUM(P26)</f>
        <v>0</v>
      </c>
    </row>
    <row r="26" s="9" customFormat="true" ht="13.8" hidden="false" customHeight="false" outlineLevel="0" collapsed="false">
      <c r="A26" s="9" t="s">
        <v>101</v>
      </c>
      <c r="B26" s="9" t="s">
        <v>102</v>
      </c>
      <c r="C26" s="12" t="n">
        <f aca="false">TCERS!C57</f>
        <v>0</v>
      </c>
      <c r="D26" s="12" t="n">
        <f aca="false">TCERS!D57</f>
        <v>0</v>
      </c>
      <c r="E26" s="12" t="n">
        <f aca="false">TCERS!E57</f>
        <v>0</v>
      </c>
      <c r="F26" s="12" t="n">
        <f aca="false">TCERS!F57</f>
        <v>0</v>
      </c>
      <c r="G26" s="12" t="n">
        <f aca="false">TCERS!G57</f>
        <v>0</v>
      </c>
      <c r="H26" s="12" t="n">
        <f aca="false">TCERS!H57</f>
        <v>0</v>
      </c>
      <c r="I26" s="12" t="n">
        <f aca="false">TCERS!I57</f>
        <v>0</v>
      </c>
      <c r="J26" s="12" t="n">
        <f aca="false">TCERS!J57</f>
        <v>0</v>
      </c>
      <c r="K26" s="12" t="n">
        <f aca="false">TCERS!K57</f>
        <v>0</v>
      </c>
      <c r="L26" s="12" t="n">
        <f aca="false">TCERS!L57</f>
        <v>0</v>
      </c>
      <c r="M26" s="12" t="n">
        <f aca="false">TCERS!M57</f>
        <v>0</v>
      </c>
      <c r="N26" s="12" t="n">
        <f aca="false">TCERS!N57</f>
        <v>0</v>
      </c>
      <c r="O26" s="12" t="n">
        <f aca="false">TCERS!O57</f>
        <v>0</v>
      </c>
      <c r="P26" s="12" t="n">
        <f aca="false">TCERS!P57</f>
        <v>0</v>
      </c>
    </row>
    <row r="27" s="8" customFormat="true" ht="13.8" hidden="false" customHeight="false" outlineLevel="0" collapsed="false">
      <c r="A27" s="1" t="s">
        <v>147</v>
      </c>
      <c r="B27" s="1"/>
      <c r="C27" s="8" t="n">
        <f aca="false">82184.08+103.2+636.96+70865.73+10260.08+1525.75</f>
        <v>165575.8</v>
      </c>
      <c r="D27" s="8" t="n">
        <f aca="false">96120.03+31.1+636.96+80937.75+2820.96+1211.27</f>
        <v>181758.07</v>
      </c>
      <c r="E27" s="8" t="n">
        <f aca="false">80135.85+574.66+636.96+111432.19+804.39+2057.13</f>
        <v>195641.18</v>
      </c>
      <c r="F27" s="8" t="n">
        <f aca="false">91207.87+3152.01+636.96+77577.22+1018.97+1840.34</f>
        <v>175433.37</v>
      </c>
      <c r="G27" s="8" t="n">
        <f aca="false">102980.86+334.85+636.96+76865.93+197.01+1736.23</f>
        <v>182751.84</v>
      </c>
      <c r="H27" s="8" t="n">
        <f aca="false">118416.19+260.92+636.96+134744.07+10311.11+1678.05</f>
        <v>266047.3</v>
      </c>
      <c r="I27" s="8" t="n">
        <v>211095.57</v>
      </c>
      <c r="J27" s="8" t="n">
        <v>233433.95</v>
      </c>
      <c r="K27" s="8" t="n">
        <v>218784.62</v>
      </c>
      <c r="L27" s="8" t="n">
        <v>245674.2</v>
      </c>
      <c r="M27" s="8" t="n">
        <v>281790.04</v>
      </c>
      <c r="N27" s="8" t="n">
        <v>191710.22</v>
      </c>
      <c r="O27" s="8" t="n">
        <v>183168.89</v>
      </c>
      <c r="P27" s="8" t="n">
        <v>225916.26</v>
      </c>
    </row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LibreOffice/5.1.4.2$Linux_X86_64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2016-07-25T11:34:44Z</dcterms:created>
  <dc:creator>Everton</dc:creator>
  <dc:description/>
  <dc:language>pt-BR</dc:language>
  <cp:lastModifiedBy/>
  <dcterms:modified xsi:type="dcterms:W3CDTF">2016-09-21T11:38:41Z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