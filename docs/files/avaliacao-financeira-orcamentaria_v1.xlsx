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erton\Downloads\"/>
    </mc:Choice>
  </mc:AlternateContent>
  <bookViews>
    <workbookView xWindow="0" yWindow="0" windowWidth="20490" windowHeight="7755" tabRatio="847"/>
  </bookViews>
  <sheets>
    <sheet name="Avaliação" sheetId="1" r:id="rId1"/>
  </sheets>
  <definedNames>
    <definedName name="_xlnm.Print_Titles" localSheetId="0">Avaliação!$1:$5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9" i="1" l="1"/>
  <c r="N63" i="1"/>
  <c r="N67" i="1"/>
  <c r="N83" i="1"/>
  <c r="N99" i="1"/>
  <c r="N103" i="1"/>
  <c r="N107" i="1"/>
  <c r="N115" i="1"/>
  <c r="N119" i="1"/>
  <c r="N127" i="1"/>
  <c r="N131" i="1"/>
  <c r="N135" i="1"/>
  <c r="N139" i="1"/>
  <c r="N143" i="1"/>
  <c r="N52" i="1"/>
  <c r="N60" i="1"/>
  <c r="N64" i="1"/>
  <c r="N68" i="1"/>
  <c r="N72" i="1"/>
  <c r="N76" i="1"/>
  <c r="N80" i="1"/>
  <c r="N84" i="1"/>
  <c r="N88" i="1"/>
  <c r="N92" i="1"/>
  <c r="N96" i="1"/>
  <c r="N104" i="1"/>
  <c r="N108" i="1"/>
  <c r="N112" i="1"/>
  <c r="N116" i="1"/>
  <c r="N120" i="1"/>
  <c r="N124" i="1"/>
  <c r="N128" i="1"/>
  <c r="N132" i="1"/>
  <c r="N136" i="1"/>
  <c r="N140" i="1"/>
  <c r="M147" i="1"/>
  <c r="L147" i="1"/>
  <c r="J147" i="1"/>
  <c r="I147" i="1"/>
  <c r="H147" i="1"/>
  <c r="G147" i="1"/>
  <c r="F147" i="1"/>
  <c r="N146" i="1"/>
  <c r="N145" i="1"/>
  <c r="N144" i="1"/>
  <c r="N142" i="1"/>
  <c r="N141" i="1"/>
  <c r="N138" i="1"/>
  <c r="N137" i="1"/>
  <c r="N134" i="1"/>
  <c r="N133" i="1"/>
  <c r="N130" i="1"/>
  <c r="N129" i="1"/>
  <c r="N126" i="1"/>
  <c r="N125" i="1"/>
  <c r="N123" i="1"/>
  <c r="N122" i="1"/>
  <c r="N121" i="1"/>
  <c r="N118" i="1"/>
  <c r="N117" i="1"/>
  <c r="N114" i="1"/>
  <c r="N113" i="1"/>
  <c r="N111" i="1"/>
  <c r="N110" i="1"/>
  <c r="N109" i="1"/>
  <c r="N106" i="1"/>
  <c r="N105" i="1"/>
  <c r="N102" i="1"/>
  <c r="N101" i="1"/>
  <c r="N100" i="1"/>
  <c r="N98" i="1"/>
  <c r="N97" i="1"/>
  <c r="N95" i="1"/>
  <c r="N94" i="1"/>
  <c r="N93" i="1"/>
  <c r="N91" i="1"/>
  <c r="N90" i="1"/>
  <c r="N89" i="1"/>
  <c r="N87" i="1"/>
  <c r="N86" i="1"/>
  <c r="N85" i="1"/>
  <c r="N82" i="1"/>
  <c r="N81" i="1"/>
  <c r="N79" i="1"/>
  <c r="N78" i="1"/>
  <c r="N77" i="1"/>
  <c r="N75" i="1"/>
  <c r="N74" i="1"/>
  <c r="N73" i="1"/>
  <c r="N71" i="1"/>
  <c r="N70" i="1"/>
  <c r="N69" i="1"/>
  <c r="N66" i="1"/>
  <c r="N65" i="1"/>
  <c r="N62" i="1"/>
  <c r="N61" i="1"/>
  <c r="N58" i="1"/>
  <c r="N57" i="1"/>
  <c r="N56" i="1"/>
  <c r="N55" i="1"/>
  <c r="N54" i="1"/>
  <c r="N53" i="1"/>
  <c r="E10" i="1" l="1"/>
  <c r="K147" i="1"/>
  <c r="C147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D147" i="1" l="1"/>
  <c r="O10" i="1"/>
  <c r="R10" i="1" s="1"/>
  <c r="Q10" i="1" l="1"/>
  <c r="S10" i="1" s="1"/>
  <c r="E14" i="1"/>
  <c r="O14" i="1" s="1"/>
  <c r="N9" i="1"/>
  <c r="N8" i="1"/>
  <c r="N7" i="1"/>
  <c r="N6" i="1"/>
  <c r="E9" i="1"/>
  <c r="E8" i="1"/>
  <c r="E7" i="1"/>
  <c r="E6" i="1"/>
  <c r="T10" i="1" l="1"/>
  <c r="N147" i="1"/>
  <c r="Q14" i="1"/>
  <c r="S14" i="1" s="1"/>
  <c r="T14" i="1" s="1"/>
  <c r="E18" i="1"/>
  <c r="O18" i="1" s="1"/>
  <c r="R14" i="1"/>
  <c r="O9" i="1"/>
  <c r="E13" i="1" s="1"/>
  <c r="O13" i="1" s="1"/>
  <c r="O8" i="1"/>
  <c r="E12" i="1" s="1"/>
  <c r="O12" i="1" s="1"/>
  <c r="O7" i="1"/>
  <c r="E11" i="1" s="1"/>
  <c r="O11" i="1" s="1"/>
  <c r="O6" i="1"/>
  <c r="Q13" i="1" l="1"/>
  <c r="S13" i="1" s="1"/>
  <c r="E17" i="1"/>
  <c r="O17" i="1" s="1"/>
  <c r="R13" i="1"/>
  <c r="Q11" i="1"/>
  <c r="S11" i="1" s="1"/>
  <c r="E15" i="1"/>
  <c r="O15" i="1" s="1"/>
  <c r="T11" i="1"/>
  <c r="R11" i="1"/>
  <c r="E22" i="1"/>
  <c r="O22" i="1" s="1"/>
  <c r="R18" i="1"/>
  <c r="Q18" i="1"/>
  <c r="S18" i="1" s="1"/>
  <c r="T18" i="1"/>
  <c r="E16" i="1"/>
  <c r="O16" i="1" s="1"/>
  <c r="Q12" i="1"/>
  <c r="S12" i="1" s="1"/>
  <c r="T12" i="1"/>
  <c r="R12" i="1"/>
  <c r="R6" i="1"/>
  <c r="R8" i="1"/>
  <c r="Q8" i="1"/>
  <c r="S8" i="1" s="1"/>
  <c r="Q9" i="1"/>
  <c r="S9" i="1" s="1"/>
  <c r="R9" i="1"/>
  <c r="Q7" i="1"/>
  <c r="S7" i="1" s="1"/>
  <c r="R7" i="1"/>
  <c r="Q6" i="1"/>
  <c r="T13" i="1" l="1"/>
  <c r="R15" i="1"/>
  <c r="E19" i="1"/>
  <c r="O19" i="1" s="1"/>
  <c r="Q15" i="1"/>
  <c r="S15" i="1" s="1"/>
  <c r="T15" i="1" s="1"/>
  <c r="E26" i="1"/>
  <c r="O26" i="1" s="1"/>
  <c r="R22" i="1"/>
  <c r="Q22" i="1"/>
  <c r="S22" i="1" s="1"/>
  <c r="T22" i="1"/>
  <c r="R17" i="1"/>
  <c r="E21" i="1"/>
  <c r="O21" i="1" s="1"/>
  <c r="Q17" i="1"/>
  <c r="S17" i="1" s="1"/>
  <c r="E20" i="1"/>
  <c r="O20" i="1" s="1"/>
  <c r="R16" i="1"/>
  <c r="Q16" i="1"/>
  <c r="S16" i="1" s="1"/>
  <c r="T16" i="1" s="1"/>
  <c r="S6" i="1"/>
  <c r="T9" i="1"/>
  <c r="T8" i="1"/>
  <c r="T7" i="1"/>
  <c r="T17" i="1" l="1"/>
  <c r="R21" i="1"/>
  <c r="E25" i="1"/>
  <c r="O25" i="1" s="1"/>
  <c r="Q21" i="1"/>
  <c r="S21" i="1" s="1"/>
  <c r="T21" i="1"/>
  <c r="Q19" i="1"/>
  <c r="E23" i="1"/>
  <c r="O23" i="1" s="1"/>
  <c r="R19" i="1"/>
  <c r="T19" i="1"/>
  <c r="E24" i="1"/>
  <c r="O24" i="1" s="1"/>
  <c r="Q20" i="1"/>
  <c r="S20" i="1" s="1"/>
  <c r="R20" i="1"/>
  <c r="T20" i="1"/>
  <c r="R26" i="1"/>
  <c r="E30" i="1"/>
  <c r="O30" i="1" s="1"/>
  <c r="Q26" i="1"/>
  <c r="S26" i="1" s="1"/>
  <c r="T6" i="1"/>
  <c r="T26" i="1" l="1"/>
  <c r="S19" i="1"/>
  <c r="Q23" i="1"/>
  <c r="S23" i="1" s="1"/>
  <c r="E27" i="1"/>
  <c r="O27" i="1" s="1"/>
  <c r="R23" i="1"/>
  <c r="T23" i="1"/>
  <c r="E34" i="1"/>
  <c r="O34" i="1" s="1"/>
  <c r="Q30" i="1"/>
  <c r="S30" i="1" s="1"/>
  <c r="R30" i="1"/>
  <c r="R25" i="1"/>
  <c r="E29" i="1"/>
  <c r="O29" i="1" s="1"/>
  <c r="Q25" i="1"/>
  <c r="S25" i="1" s="1"/>
  <c r="T25" i="1"/>
  <c r="E28" i="1"/>
  <c r="O28" i="1" s="1"/>
  <c r="R24" i="1"/>
  <c r="Q24" i="1"/>
  <c r="S24" i="1" s="1"/>
  <c r="T24" i="1" l="1"/>
  <c r="T30" i="1"/>
  <c r="R29" i="1"/>
  <c r="E33" i="1"/>
  <c r="O33" i="1" s="1"/>
  <c r="Q29" i="1"/>
  <c r="S29" i="1" s="1"/>
  <c r="R34" i="1"/>
  <c r="E38" i="1"/>
  <c r="O38" i="1" s="1"/>
  <c r="Q34" i="1"/>
  <c r="S34" i="1" s="1"/>
  <c r="E31" i="1"/>
  <c r="O31" i="1" s="1"/>
  <c r="Q27" i="1"/>
  <c r="S27" i="1" s="1"/>
  <c r="T27" i="1"/>
  <c r="R27" i="1"/>
  <c r="E32" i="1"/>
  <c r="O32" i="1" s="1"/>
  <c r="R28" i="1"/>
  <c r="Q28" i="1"/>
  <c r="S28" i="1" s="1"/>
  <c r="T28" i="1" s="1"/>
  <c r="T29" i="1" l="1"/>
  <c r="T34" i="1"/>
  <c r="E36" i="1"/>
  <c r="O36" i="1" s="1"/>
  <c r="R32" i="1"/>
  <c r="Q32" i="1"/>
  <c r="S32" i="1" s="1"/>
  <c r="T32" i="1"/>
  <c r="E42" i="1"/>
  <c r="O42" i="1" s="1"/>
  <c r="R38" i="1"/>
  <c r="Q38" i="1"/>
  <c r="S38" i="1" s="1"/>
  <c r="T38" i="1"/>
  <c r="E37" i="1"/>
  <c r="O37" i="1" s="1"/>
  <c r="R33" i="1"/>
  <c r="Q33" i="1"/>
  <c r="S33" i="1" s="1"/>
  <c r="E35" i="1"/>
  <c r="O35" i="1" s="1"/>
  <c r="R31" i="1"/>
  <c r="Q31" i="1"/>
  <c r="S31" i="1" s="1"/>
  <c r="T31" i="1" s="1"/>
  <c r="T33" i="1" l="1"/>
  <c r="E41" i="1"/>
  <c r="O41" i="1" s="1"/>
  <c r="R37" i="1"/>
  <c r="Q37" i="1"/>
  <c r="S37" i="1" s="1"/>
  <c r="T37" i="1"/>
  <c r="Q35" i="1"/>
  <c r="S35" i="1" s="1"/>
  <c r="E39" i="1"/>
  <c r="O39" i="1" s="1"/>
  <c r="T35" i="1"/>
  <c r="R35" i="1"/>
  <c r="E46" i="1"/>
  <c r="O46" i="1" s="1"/>
  <c r="R42" i="1"/>
  <c r="Q42" i="1"/>
  <c r="S42" i="1" s="1"/>
  <c r="T42" i="1"/>
  <c r="E40" i="1"/>
  <c r="O40" i="1" s="1"/>
  <c r="R36" i="1"/>
  <c r="Q36" i="1"/>
  <c r="S36" i="1" s="1"/>
  <c r="T36" i="1" l="1"/>
  <c r="R39" i="1"/>
  <c r="E43" i="1"/>
  <c r="O43" i="1" s="1"/>
  <c r="Q39" i="1"/>
  <c r="S39" i="1" s="1"/>
  <c r="T39" i="1" s="1"/>
  <c r="E44" i="1"/>
  <c r="O44" i="1" s="1"/>
  <c r="R40" i="1"/>
  <c r="Q40" i="1"/>
  <c r="S40" i="1" s="1"/>
  <c r="T40" i="1"/>
  <c r="R46" i="1"/>
  <c r="E50" i="1"/>
  <c r="O50" i="1" s="1"/>
  <c r="Q46" i="1"/>
  <c r="S46" i="1" s="1"/>
  <c r="E45" i="1"/>
  <c r="O45" i="1" s="1"/>
  <c r="Q41" i="1"/>
  <c r="S41" i="1" s="1"/>
  <c r="R41" i="1"/>
  <c r="T46" i="1" l="1"/>
  <c r="T41" i="1"/>
  <c r="E48" i="1"/>
  <c r="O48" i="1" s="1"/>
  <c r="R44" i="1"/>
  <c r="Q44" i="1"/>
  <c r="S44" i="1" s="1"/>
  <c r="T44" i="1"/>
  <c r="E49" i="1"/>
  <c r="O49" i="1" s="1"/>
  <c r="R45" i="1"/>
  <c r="Q45" i="1"/>
  <c r="S45" i="1" s="1"/>
  <c r="T45" i="1"/>
  <c r="E47" i="1"/>
  <c r="O47" i="1" s="1"/>
  <c r="R43" i="1"/>
  <c r="Q43" i="1"/>
  <c r="S43" i="1" s="1"/>
  <c r="R50" i="1"/>
  <c r="E54" i="1"/>
  <c r="O54" i="1" s="1"/>
  <c r="Q50" i="1"/>
  <c r="S50" i="1" s="1"/>
  <c r="T50" i="1"/>
  <c r="T43" i="1" l="1"/>
  <c r="E51" i="1"/>
  <c r="O51" i="1" s="1"/>
  <c r="R47" i="1"/>
  <c r="Q47" i="1"/>
  <c r="S47" i="1" s="1"/>
  <c r="T47" i="1"/>
  <c r="E58" i="1"/>
  <c r="O58" i="1" s="1"/>
  <c r="Q54" i="1"/>
  <c r="S54" i="1" s="1"/>
  <c r="T54" i="1"/>
  <c r="R54" i="1"/>
  <c r="E53" i="1"/>
  <c r="O53" i="1" s="1"/>
  <c r="R49" i="1"/>
  <c r="Q49" i="1"/>
  <c r="S49" i="1" s="1"/>
  <c r="E52" i="1"/>
  <c r="O52" i="1" s="1"/>
  <c r="R48" i="1"/>
  <c r="Q48" i="1"/>
  <c r="S48" i="1" s="1"/>
  <c r="T48" i="1" l="1"/>
  <c r="T49" i="1"/>
  <c r="R52" i="1"/>
  <c r="E56" i="1"/>
  <c r="O56" i="1" s="1"/>
  <c r="Q52" i="1"/>
  <c r="S52" i="1" s="1"/>
  <c r="T52" i="1"/>
  <c r="E57" i="1"/>
  <c r="O57" i="1" s="1"/>
  <c r="Q53" i="1"/>
  <c r="S53" i="1" s="1"/>
  <c r="T53" i="1"/>
  <c r="R53" i="1"/>
  <c r="R58" i="1"/>
  <c r="E62" i="1"/>
  <c r="O62" i="1" s="1"/>
  <c r="Q58" i="1"/>
  <c r="S58" i="1" s="1"/>
  <c r="R51" i="1"/>
  <c r="E55" i="1"/>
  <c r="O55" i="1" s="1"/>
  <c r="Q51" i="1"/>
  <c r="S51" i="1" s="1"/>
  <c r="T51" i="1" l="1"/>
  <c r="T58" i="1"/>
  <c r="E59" i="1"/>
  <c r="O59" i="1" s="1"/>
  <c r="T55" i="1"/>
  <c r="Q55" i="1"/>
  <c r="S55" i="1" s="1"/>
  <c r="R55" i="1"/>
  <c r="E60" i="1"/>
  <c r="O60" i="1" s="1"/>
  <c r="Q56" i="1"/>
  <c r="S56" i="1" s="1"/>
  <c r="R56" i="1"/>
  <c r="E66" i="1"/>
  <c r="O66" i="1" s="1"/>
  <c r="R62" i="1"/>
  <c r="T62" i="1"/>
  <c r="Q62" i="1"/>
  <c r="S62" i="1" s="1"/>
  <c r="T57" i="1"/>
  <c r="E61" i="1"/>
  <c r="O61" i="1" s="1"/>
  <c r="R57" i="1"/>
  <c r="Q57" i="1"/>
  <c r="S57" i="1" s="1"/>
  <c r="T56" i="1" l="1"/>
  <c r="E65" i="1"/>
  <c r="O65" i="1" s="1"/>
  <c r="R61" i="1"/>
  <c r="Q61" i="1"/>
  <c r="S61" i="1" s="1"/>
  <c r="T61" i="1"/>
  <c r="R60" i="1"/>
  <c r="E64" i="1"/>
  <c r="O64" i="1" s="1"/>
  <c r="Q60" i="1"/>
  <c r="S60" i="1" s="1"/>
  <c r="T66" i="1"/>
  <c r="E70" i="1"/>
  <c r="O70" i="1" s="1"/>
  <c r="R66" i="1"/>
  <c r="Q66" i="1"/>
  <c r="S66" i="1" s="1"/>
  <c r="T59" i="1"/>
  <c r="E63" i="1"/>
  <c r="O63" i="1" s="1"/>
  <c r="Q59" i="1"/>
  <c r="S59" i="1" s="1"/>
  <c r="R59" i="1"/>
  <c r="T60" i="1" l="1"/>
  <c r="T63" i="1"/>
  <c r="E67" i="1"/>
  <c r="O67" i="1" s="1"/>
  <c r="R63" i="1"/>
  <c r="Q63" i="1"/>
  <c r="S63" i="1" s="1"/>
  <c r="R64" i="1"/>
  <c r="E68" i="1"/>
  <c r="O68" i="1" s="1"/>
  <c r="Q64" i="1"/>
  <c r="S64" i="1" s="1"/>
  <c r="T64" i="1"/>
  <c r="T70" i="1"/>
  <c r="E74" i="1"/>
  <c r="O74" i="1" s="1"/>
  <c r="Q70" i="1"/>
  <c r="S70" i="1" s="1"/>
  <c r="R70" i="1"/>
  <c r="E69" i="1"/>
  <c r="O69" i="1" s="1"/>
  <c r="R65" i="1"/>
  <c r="T65" i="1"/>
  <c r="Q65" i="1"/>
  <c r="S65" i="1" s="1"/>
  <c r="E78" i="1" l="1"/>
  <c r="O78" i="1" s="1"/>
  <c r="Q74" i="1"/>
  <c r="S74" i="1" s="1"/>
  <c r="R74" i="1"/>
  <c r="R68" i="1"/>
  <c r="E72" i="1"/>
  <c r="O72" i="1" s="1"/>
  <c r="Q68" i="1"/>
  <c r="S68" i="1" s="1"/>
  <c r="Q67" i="1"/>
  <c r="S67" i="1" s="1"/>
  <c r="E71" i="1"/>
  <c r="O71" i="1" s="1"/>
  <c r="T67" i="1"/>
  <c r="R67" i="1"/>
  <c r="E73" i="1"/>
  <c r="O73" i="1" s="1"/>
  <c r="R69" i="1"/>
  <c r="T69" i="1"/>
  <c r="Q69" i="1"/>
  <c r="S69" i="1" s="1"/>
  <c r="T74" i="1" l="1"/>
  <c r="T68" i="1"/>
  <c r="E77" i="1"/>
  <c r="O77" i="1" s="1"/>
  <c r="Q73" i="1"/>
  <c r="S73" i="1" s="1"/>
  <c r="R73" i="1"/>
  <c r="T73" i="1"/>
  <c r="E75" i="1"/>
  <c r="O75" i="1" s="1"/>
  <c r="T71" i="1"/>
  <c r="Q71" i="1"/>
  <c r="S71" i="1" s="1"/>
  <c r="R71" i="1"/>
  <c r="R72" i="1"/>
  <c r="E76" i="1"/>
  <c r="O76" i="1" s="1"/>
  <c r="Q72" i="1"/>
  <c r="S72" i="1" s="1"/>
  <c r="T72" i="1"/>
  <c r="T78" i="1"/>
  <c r="E82" i="1"/>
  <c r="O82" i="1" s="1"/>
  <c r="R78" i="1"/>
  <c r="Q78" i="1"/>
  <c r="S78" i="1" s="1"/>
  <c r="T82" i="1" l="1"/>
  <c r="E86" i="1"/>
  <c r="O86" i="1" s="1"/>
  <c r="Q82" i="1"/>
  <c r="S82" i="1" s="1"/>
  <c r="R82" i="1"/>
  <c r="Q75" i="1"/>
  <c r="S75" i="1" s="1"/>
  <c r="E79" i="1"/>
  <c r="O79" i="1" s="1"/>
  <c r="T75" i="1"/>
  <c r="R75" i="1"/>
  <c r="E80" i="1"/>
  <c r="O80" i="1" s="1"/>
  <c r="Q76" i="1"/>
  <c r="S76" i="1" s="1"/>
  <c r="T76" i="1"/>
  <c r="R76" i="1"/>
  <c r="E81" i="1"/>
  <c r="O81" i="1" s="1"/>
  <c r="R77" i="1"/>
  <c r="Q77" i="1"/>
  <c r="S77" i="1" s="1"/>
  <c r="T77" i="1" l="1"/>
  <c r="E85" i="1"/>
  <c r="O85" i="1" s="1"/>
  <c r="R81" i="1"/>
  <c r="Q81" i="1"/>
  <c r="S81" i="1" s="1"/>
  <c r="T81" i="1" s="1"/>
  <c r="E83" i="1"/>
  <c r="O83" i="1" s="1"/>
  <c r="T79" i="1"/>
  <c r="R79" i="1"/>
  <c r="Q79" i="1"/>
  <c r="S79" i="1" s="1"/>
  <c r="T86" i="1"/>
  <c r="E90" i="1"/>
  <c r="O90" i="1" s="1"/>
  <c r="R86" i="1"/>
  <c r="Q86" i="1"/>
  <c r="S86" i="1" s="1"/>
  <c r="E84" i="1"/>
  <c r="O84" i="1" s="1"/>
  <c r="Q80" i="1"/>
  <c r="S80" i="1" s="1"/>
  <c r="R80" i="1"/>
  <c r="T80" i="1" l="1"/>
  <c r="T90" i="1"/>
  <c r="E94" i="1"/>
  <c r="O94" i="1" s="1"/>
  <c r="Q90" i="1"/>
  <c r="S90" i="1" s="1"/>
  <c r="R90" i="1"/>
  <c r="E88" i="1"/>
  <c r="O88" i="1" s="1"/>
  <c r="R84" i="1"/>
  <c r="Q84" i="1"/>
  <c r="S84" i="1" s="1"/>
  <c r="E87" i="1"/>
  <c r="O87" i="1" s="1"/>
  <c r="T83" i="1"/>
  <c r="R83" i="1"/>
  <c r="Q83" i="1"/>
  <c r="S83" i="1" s="1"/>
  <c r="R85" i="1"/>
  <c r="E89" i="1"/>
  <c r="O89" i="1" s="1"/>
  <c r="T85" i="1"/>
  <c r="Q85" i="1"/>
  <c r="S85" i="1" s="1"/>
  <c r="T84" i="1" l="1"/>
  <c r="T94" i="1"/>
  <c r="E98" i="1"/>
  <c r="O98" i="1" s="1"/>
  <c r="R94" i="1"/>
  <c r="Q94" i="1"/>
  <c r="S94" i="1" s="1"/>
  <c r="E93" i="1"/>
  <c r="O93" i="1" s="1"/>
  <c r="T89" i="1"/>
  <c r="Q89" i="1"/>
  <c r="S89" i="1" s="1"/>
  <c r="R89" i="1"/>
  <c r="E91" i="1"/>
  <c r="O91" i="1" s="1"/>
  <c r="R87" i="1"/>
  <c r="Q87" i="1"/>
  <c r="S87" i="1" s="1"/>
  <c r="T87" i="1"/>
  <c r="E92" i="1"/>
  <c r="O92" i="1" s="1"/>
  <c r="R88" i="1"/>
  <c r="Q88" i="1"/>
  <c r="S88" i="1" s="1"/>
  <c r="T88" i="1"/>
  <c r="T98" i="1" l="1"/>
  <c r="E102" i="1"/>
  <c r="O102" i="1" s="1"/>
  <c r="Q98" i="1"/>
  <c r="S98" i="1" s="1"/>
  <c r="R98" i="1"/>
  <c r="E96" i="1"/>
  <c r="O96" i="1" s="1"/>
  <c r="T92" i="1"/>
  <c r="R92" i="1"/>
  <c r="Q92" i="1"/>
  <c r="S92" i="1" s="1"/>
  <c r="E95" i="1"/>
  <c r="O95" i="1" s="1"/>
  <c r="Q91" i="1"/>
  <c r="S91" i="1" s="1"/>
  <c r="T91" i="1"/>
  <c r="R91" i="1"/>
  <c r="E97" i="1"/>
  <c r="O97" i="1" s="1"/>
  <c r="R93" i="1"/>
  <c r="T93" i="1"/>
  <c r="Q93" i="1"/>
  <c r="S93" i="1" s="1"/>
  <c r="T102" i="1" l="1"/>
  <c r="E106" i="1"/>
  <c r="O106" i="1" s="1"/>
  <c r="R102" i="1"/>
  <c r="Q102" i="1"/>
  <c r="S102" i="1" s="1"/>
  <c r="E101" i="1"/>
  <c r="O101" i="1" s="1"/>
  <c r="R97" i="1"/>
  <c r="T97" i="1"/>
  <c r="Q97" i="1"/>
  <c r="S97" i="1" s="1"/>
  <c r="E99" i="1"/>
  <c r="O99" i="1" s="1"/>
  <c r="Q95" i="1"/>
  <c r="S95" i="1" s="1"/>
  <c r="R95" i="1"/>
  <c r="T95" i="1"/>
  <c r="E100" i="1"/>
  <c r="O100" i="1" s="1"/>
  <c r="R96" i="1"/>
  <c r="Q96" i="1"/>
  <c r="S96" i="1" s="1"/>
  <c r="T96" i="1"/>
  <c r="T106" i="1" l="1"/>
  <c r="E110" i="1"/>
  <c r="O110" i="1" s="1"/>
  <c r="Q106" i="1"/>
  <c r="S106" i="1" s="1"/>
  <c r="R106" i="1"/>
  <c r="E104" i="1"/>
  <c r="O104" i="1" s="1"/>
  <c r="Q100" i="1"/>
  <c r="S100" i="1" s="1"/>
  <c r="T100" i="1"/>
  <c r="R100" i="1"/>
  <c r="E103" i="1"/>
  <c r="O103" i="1" s="1"/>
  <c r="Q99" i="1"/>
  <c r="S99" i="1" s="1"/>
  <c r="T99" i="1"/>
  <c r="R99" i="1"/>
  <c r="R101" i="1"/>
  <c r="E105" i="1"/>
  <c r="O105" i="1" s="1"/>
  <c r="T101" i="1"/>
  <c r="Q101" i="1"/>
  <c r="S101" i="1" s="1"/>
  <c r="E107" i="1" l="1"/>
  <c r="O107" i="1" s="1"/>
  <c r="R103" i="1"/>
  <c r="Q103" i="1"/>
  <c r="S103" i="1" s="1"/>
  <c r="T103" i="1"/>
  <c r="E109" i="1"/>
  <c r="O109" i="1" s="1"/>
  <c r="R105" i="1"/>
  <c r="Q105" i="1"/>
  <c r="S105" i="1" s="1"/>
  <c r="T105" i="1"/>
  <c r="T110" i="1"/>
  <c r="E114" i="1"/>
  <c r="O114" i="1" s="1"/>
  <c r="R110" i="1"/>
  <c r="Q110" i="1"/>
  <c r="S110" i="1" s="1"/>
  <c r="E108" i="1"/>
  <c r="O108" i="1" s="1"/>
  <c r="T104" i="1"/>
  <c r="R104" i="1"/>
  <c r="Q104" i="1"/>
  <c r="S104" i="1" s="1"/>
  <c r="E112" i="1" l="1"/>
  <c r="O112" i="1" s="1"/>
  <c r="R108" i="1"/>
  <c r="Q108" i="1"/>
  <c r="S108" i="1" s="1"/>
  <c r="T108" i="1"/>
  <c r="T114" i="1"/>
  <c r="E118" i="1"/>
  <c r="O118" i="1" s="1"/>
  <c r="Q114" i="1"/>
  <c r="S114" i="1" s="1"/>
  <c r="R114" i="1"/>
  <c r="E113" i="1"/>
  <c r="O113" i="1" s="1"/>
  <c r="Q109" i="1"/>
  <c r="S109" i="1" s="1"/>
  <c r="R109" i="1"/>
  <c r="E111" i="1"/>
  <c r="O111" i="1" s="1"/>
  <c r="R107" i="1"/>
  <c r="Q107" i="1"/>
  <c r="S107" i="1" s="1"/>
  <c r="T107" i="1" s="1"/>
  <c r="T109" i="1" l="1"/>
  <c r="E115" i="1"/>
  <c r="O115" i="1" s="1"/>
  <c r="R111" i="1"/>
  <c r="Q111" i="1"/>
  <c r="S111" i="1" s="1"/>
  <c r="T111" i="1"/>
  <c r="E117" i="1"/>
  <c r="O117" i="1" s="1"/>
  <c r="R113" i="1"/>
  <c r="Q113" i="1"/>
  <c r="S113" i="1" s="1"/>
  <c r="T118" i="1"/>
  <c r="E122" i="1"/>
  <c r="O122" i="1" s="1"/>
  <c r="R118" i="1"/>
  <c r="Q118" i="1"/>
  <c r="S118" i="1" s="1"/>
  <c r="E116" i="1"/>
  <c r="O116" i="1" s="1"/>
  <c r="Q112" i="1"/>
  <c r="S112" i="1" s="1"/>
  <c r="T112" i="1"/>
  <c r="R112" i="1"/>
  <c r="T113" i="1" l="1"/>
  <c r="E120" i="1"/>
  <c r="O120" i="1" s="1"/>
  <c r="R116" i="1"/>
  <c r="Q116" i="1"/>
  <c r="S116" i="1" s="1"/>
  <c r="T116" i="1"/>
  <c r="Q122" i="1"/>
  <c r="S122" i="1" s="1"/>
  <c r="E126" i="1"/>
  <c r="O126" i="1" s="1"/>
  <c r="T122" i="1"/>
  <c r="R122" i="1"/>
  <c r="R117" i="1"/>
  <c r="E121" i="1"/>
  <c r="O121" i="1" s="1"/>
  <c r="Q117" i="1"/>
  <c r="S117" i="1" s="1"/>
  <c r="E119" i="1"/>
  <c r="O119" i="1" s="1"/>
  <c r="R115" i="1"/>
  <c r="Q115" i="1"/>
  <c r="S115" i="1" s="1"/>
  <c r="T115" i="1" l="1"/>
  <c r="T117" i="1"/>
  <c r="E125" i="1"/>
  <c r="O125" i="1" s="1"/>
  <c r="Q121" i="1"/>
  <c r="S121" i="1" s="1"/>
  <c r="T121" i="1"/>
  <c r="R121" i="1"/>
  <c r="E130" i="1"/>
  <c r="O130" i="1" s="1"/>
  <c r="T126" i="1"/>
  <c r="R126" i="1"/>
  <c r="Q126" i="1"/>
  <c r="S126" i="1" s="1"/>
  <c r="E123" i="1"/>
  <c r="O123" i="1" s="1"/>
  <c r="T119" i="1"/>
  <c r="Q119" i="1"/>
  <c r="S119" i="1" s="1"/>
  <c r="R119" i="1"/>
  <c r="E124" i="1"/>
  <c r="O124" i="1" s="1"/>
  <c r="R120" i="1"/>
  <c r="Q120" i="1"/>
  <c r="S120" i="1" s="1"/>
  <c r="T120" i="1"/>
  <c r="E128" i="1" l="1"/>
  <c r="O128" i="1" s="1"/>
  <c r="R124" i="1"/>
  <c r="Q124" i="1"/>
  <c r="S124" i="1" s="1"/>
  <c r="T124" i="1"/>
  <c r="T125" i="1"/>
  <c r="E129" i="1"/>
  <c r="O129" i="1" s="1"/>
  <c r="Q125" i="1"/>
  <c r="S125" i="1" s="1"/>
  <c r="R125" i="1"/>
  <c r="R123" i="1"/>
  <c r="E127" i="1"/>
  <c r="O127" i="1" s="1"/>
  <c r="Q123" i="1"/>
  <c r="S123" i="1" s="1"/>
  <c r="T123" i="1"/>
  <c r="E134" i="1"/>
  <c r="O134" i="1" s="1"/>
  <c r="Q130" i="1"/>
  <c r="S130" i="1" s="1"/>
  <c r="R130" i="1"/>
  <c r="T130" i="1" l="1"/>
  <c r="E133" i="1"/>
  <c r="O133" i="1" s="1"/>
  <c r="Q129" i="1"/>
  <c r="S129" i="1" s="1"/>
  <c r="R129" i="1"/>
  <c r="R127" i="1"/>
  <c r="E131" i="1"/>
  <c r="O131" i="1" s="1"/>
  <c r="Q127" i="1"/>
  <c r="S127" i="1" s="1"/>
  <c r="T127" i="1"/>
  <c r="Q134" i="1"/>
  <c r="S134" i="1" s="1"/>
  <c r="E138" i="1"/>
  <c r="O138" i="1" s="1"/>
  <c r="T134" i="1"/>
  <c r="R134" i="1"/>
  <c r="E132" i="1"/>
  <c r="O132" i="1" s="1"/>
  <c r="R128" i="1"/>
  <c r="Q128" i="1"/>
  <c r="S128" i="1" s="1"/>
  <c r="T128" i="1" l="1"/>
  <c r="T129" i="1"/>
  <c r="E135" i="1"/>
  <c r="O135" i="1" s="1"/>
  <c r="Q131" i="1"/>
  <c r="S131" i="1" s="1"/>
  <c r="T131" i="1"/>
  <c r="R131" i="1"/>
  <c r="E137" i="1"/>
  <c r="O137" i="1" s="1"/>
  <c r="Q133" i="1"/>
  <c r="S133" i="1" s="1"/>
  <c r="T133" i="1"/>
  <c r="R133" i="1"/>
  <c r="Q138" i="1"/>
  <c r="S138" i="1" s="1"/>
  <c r="T138" i="1" s="1"/>
  <c r="E142" i="1"/>
  <c r="O142" i="1" s="1"/>
  <c r="R138" i="1"/>
  <c r="E136" i="1"/>
  <c r="O136" i="1" s="1"/>
  <c r="T132" i="1"/>
  <c r="R132" i="1"/>
  <c r="Q132" i="1"/>
  <c r="S132" i="1" s="1"/>
  <c r="E140" i="1" l="1"/>
  <c r="O140" i="1" s="1"/>
  <c r="R136" i="1"/>
  <c r="Q136" i="1"/>
  <c r="S136" i="1" s="1"/>
  <c r="T136" i="1"/>
  <c r="E146" i="1"/>
  <c r="R142" i="1"/>
  <c r="Q142" i="1"/>
  <c r="S142" i="1" s="1"/>
  <c r="E141" i="1"/>
  <c r="O141" i="1" s="1"/>
  <c r="R137" i="1"/>
  <c r="Q137" i="1"/>
  <c r="S137" i="1" s="1"/>
  <c r="T137" i="1"/>
  <c r="E139" i="1"/>
  <c r="O139" i="1" s="1"/>
  <c r="R135" i="1"/>
  <c r="Q135" i="1"/>
  <c r="S135" i="1" s="1"/>
  <c r="T135" i="1" l="1"/>
  <c r="T142" i="1"/>
  <c r="O146" i="1"/>
  <c r="R146" i="1" s="1"/>
  <c r="E145" i="1"/>
  <c r="O145" i="1" s="1"/>
  <c r="R141" i="1"/>
  <c r="Q141" i="1"/>
  <c r="S141" i="1" s="1"/>
  <c r="E143" i="1"/>
  <c r="O143" i="1" s="1"/>
  <c r="R139" i="1"/>
  <c r="Q139" i="1"/>
  <c r="S139" i="1" s="1"/>
  <c r="T139" i="1"/>
  <c r="E144" i="1"/>
  <c r="O144" i="1" s="1"/>
  <c r="T140" i="1"/>
  <c r="R140" i="1"/>
  <c r="Q140" i="1"/>
  <c r="S140" i="1" s="1"/>
  <c r="T141" i="1" l="1"/>
  <c r="T146" i="1"/>
  <c r="Q146" i="1"/>
  <c r="S146" i="1" s="1"/>
  <c r="E147" i="1"/>
  <c r="O147" i="1"/>
  <c r="Q144" i="1"/>
  <c r="S144" i="1" s="1"/>
  <c r="T144" i="1"/>
  <c r="R144" i="1"/>
  <c r="T145" i="1"/>
  <c r="R145" i="1"/>
  <c r="Q145" i="1"/>
  <c r="S145" i="1" s="1"/>
  <c r="R143" i="1"/>
  <c r="Q143" i="1"/>
  <c r="S143" i="1" s="1"/>
  <c r="T143" i="1"/>
  <c r="R147" i="1" l="1"/>
  <c r="T147" i="1"/>
  <c r="Q147" i="1"/>
  <c r="S147" i="1"/>
</calcChain>
</file>

<file path=xl/sharedStrings.xml><?xml version="1.0" encoding="utf-8"?>
<sst xmlns="http://schemas.openxmlformats.org/spreadsheetml/2006/main" count="179" uniqueCount="178">
  <si>
    <t>Data-Base</t>
  </si>
  <si>
    <t>Fonte</t>
  </si>
  <si>
    <t>A arrecadar</t>
  </si>
  <si>
    <t>A empenhar</t>
  </si>
  <si>
    <t>A liquidar</t>
  </si>
  <si>
    <t>A pagar</t>
  </si>
  <si>
    <t>Restos a Pagar</t>
  </si>
  <si>
    <t>Extras a pagar</t>
  </si>
  <si>
    <t>Repasses à Câmara</t>
  </si>
  <si>
    <t>Saldo final</t>
  </si>
  <si>
    <t>Total</t>
  </si>
  <si>
    <t>Aplicação dos recursos</t>
  </si>
  <si>
    <t>Origem dos recursos</t>
  </si>
  <si>
    <t>(a)</t>
  </si>
  <si>
    <t>(b)</t>
  </si>
  <si>
    <t>(c=a+b)</t>
  </si>
  <si>
    <t>(d)</t>
  </si>
  <si>
    <t>(e)</t>
  </si>
  <si>
    <t>(f)</t>
  </si>
  <si>
    <t>(g)</t>
  </si>
  <si>
    <t>(h)</t>
  </si>
  <si>
    <t>(i)</t>
  </si>
  <si>
    <t>Saldo financeiro</t>
  </si>
  <si>
    <t>AVALIAÇÃO FINANCEIRA</t>
  </si>
  <si>
    <t>(-) Limitado</t>
  </si>
  <si>
    <t>(+) Recomposto</t>
  </si>
  <si>
    <t>(j)</t>
  </si>
  <si>
    <t>(k)</t>
  </si>
  <si>
    <t>(m=c-l)</t>
  </si>
  <si>
    <t>(l=d-e+f+g+h+i+j+k)</t>
  </si>
  <si>
    <t>Providências</t>
  </si>
  <si>
    <t>Limitar</t>
  </si>
  <si>
    <t>Recompor</t>
  </si>
  <si>
    <t>Cancelar Empenhos</t>
  </si>
  <si>
    <t>Insuficiência</t>
  </si>
  <si>
    <t>TOTAL</t>
  </si>
  <si>
    <t>Código</t>
  </si>
  <si>
    <t xml:space="preserve">LIVRE                                                                           </t>
  </si>
  <si>
    <t xml:space="preserve">MDE                                                                             </t>
  </si>
  <si>
    <t xml:space="preserve">FUNDEF                                                                          </t>
  </si>
  <si>
    <t xml:space="preserve">FUNDEB                                                                          </t>
  </si>
  <si>
    <t xml:space="preserve">ASPS                                                                            </t>
  </si>
  <si>
    <t xml:space="preserve">RPPS                                                                            </t>
  </si>
  <si>
    <t xml:space="preserve">FHCR-LIVRE                                                                      </t>
  </si>
  <si>
    <t xml:space="preserve">PNAE FUNDAMENTAL FF                                                             </t>
  </si>
  <si>
    <t xml:space="preserve">REDE DE AGUA SAO MIGUEL CONV 1348/13-SOP FE                                     </t>
  </si>
  <si>
    <t xml:space="preserve">MANUT. EDUC. INF. TD - APOIO CRECHES                                            </t>
  </si>
  <si>
    <t xml:space="preserve">PAR-TD-PLANO DE ACAO ARTICULADA-TRANSF. DIRETA                                  </t>
  </si>
  <si>
    <t xml:space="preserve">TAXAS E MULTAS AMBIENTAIS - LEI 2378/12                                         </t>
  </si>
  <si>
    <t xml:space="preserve">FINANCIAMENTO BADESUL L2484/14 - LAR DA CRIANCA                                 </t>
  </si>
  <si>
    <t xml:space="preserve">FINANCIAMENTO BADESUL L2484/14 MAQUINAS PESADAS                                 </t>
  </si>
  <si>
    <t xml:space="preserve">PAR/MEC MOBILIARIO TC PAR 201304173/2013                                        </t>
  </si>
  <si>
    <t xml:space="preserve">PROGRAMA PASSE LIVRE FE                                                         </t>
  </si>
  <si>
    <t xml:space="preserve">CONV3953/12 PPC LEITE GAUCHO SDR FE                                             </t>
  </si>
  <si>
    <t xml:space="preserve">CONV 3844/12 PROG EST DE IRRIGACAO SDR FE                                       </t>
  </si>
  <si>
    <t xml:space="preserve">REDE DE AGUA CONV SEHABS-DESAN 2468/2013                                        </t>
  </si>
  <si>
    <t xml:space="preserve">BRASIL CARINHOSO FF                                                             </t>
  </si>
  <si>
    <t xml:space="preserve">Q/SE - QUOTA SALARIO EDUCACAO FF                                                </t>
  </si>
  <si>
    <t xml:space="preserve">INFRAESTRUTURA ESCOLAR - PAR - MOBILIZARIO                                      </t>
  </si>
  <si>
    <t xml:space="preserve">PNATE FF                                                                        </t>
  </si>
  <si>
    <t xml:space="preserve">CONVENIO TRANSPORTE ESCOLAR FE                                                  </t>
  </si>
  <si>
    <t xml:space="preserve">CIDE FF                                                                         </t>
  </si>
  <si>
    <t xml:space="preserve">FUNASA CONV 652299 TC 1428/08 FF                                                </t>
  </si>
  <si>
    <t xml:space="preserve">PISO BASICO VARIAVEL II - PBT SUAS FF                                           </t>
  </si>
  <si>
    <t xml:space="preserve">PBV - SCFV - SV CONVIVENCIA FORTALEC VINCULOS FF                                </t>
  </si>
  <si>
    <t xml:space="preserve">REFORMA E AMPLIACAO DA QUADRA DA PRACA JOAO SAFFI                               </t>
  </si>
  <si>
    <t xml:space="preserve">TRATOR AGRICOLA CONV 809884/2014 FF                                             </t>
  </si>
  <si>
    <t xml:space="preserve">REVITALIZ. DA PRACA JOAO SAFFI CONV 789192/2013 FF                              </t>
  </si>
  <si>
    <t xml:space="preserve">PAVIMENTACAO ESQ. ARAUJO CONV 742907/10 FF                                      </t>
  </si>
  <si>
    <t xml:space="preserve">BADESUL PIMES LEI 2615/15 INFRA AREA INDUSTRIAL                                 </t>
  </si>
  <si>
    <t xml:space="preserve">AP REDE CNEAS FNAS FF                                                           </t>
  </si>
  <si>
    <t xml:space="preserve">VACINACAO DO IDOSO - Outras SUS/FMS                                             </t>
  </si>
  <si>
    <t xml:space="preserve">PNAE CRECHE FF                                                                  </t>
  </si>
  <si>
    <t xml:space="preserve">FMS F Estadual - Dengue Verao                                                   </t>
  </si>
  <si>
    <t xml:space="preserve">PNAE PRE-ESCOLA FF                                                              </t>
  </si>
  <si>
    <t xml:space="preserve">.....FMS  F Estadual - Incentivo ao Inverno Gaucho                              </t>
  </si>
  <si>
    <t xml:space="preserve">AGUA ESQ BOA VISTA TC.041/2005                                                  </t>
  </si>
  <si>
    <t xml:space="preserve">PDDE/FNDE FF                                                                    </t>
  </si>
  <si>
    <t xml:space="preserve">CONV 545503 FNS - UNID MOV SAUDE                                                </t>
  </si>
  <si>
    <t xml:space="preserve">IGD-BF FF                                                                       </t>
  </si>
  <si>
    <t xml:space="preserve">PAVIMENTACAO - EMENDA PARLAMENTAR - ESQ. BUDEL FF                               </t>
  </si>
  <si>
    <t xml:space="preserve">Programa Medic Grupos de Hiper. Diabete   (HD1,15)                              </t>
  </si>
  <si>
    <t xml:space="preserve">TRANSFERENCIA DO SUS - Preventivos F Fed                                        </t>
  </si>
  <si>
    <t xml:space="preserve">PORTICO - Emenda Parlamentar 90280006 M.Turismo                                 </t>
  </si>
  <si>
    <t xml:space="preserve">CONT. 197.292-73 MAPA/PRODESA  -Distrib Adubo Org                               </t>
  </si>
  <si>
    <t xml:space="preserve">PRACA  CIDADE ALTA - Miisterio Turismo E.P 2024000                              </t>
  </si>
  <si>
    <t xml:space="preserve">PAVIMENTACAO-CONT.REP 188.917-31/2005 MIN CIDADES                               </t>
  </si>
  <si>
    <t xml:space="preserve">APOIO P/6 HABITAC  CONT REP 174.166-56/2005 Min Ci                              </t>
  </si>
  <si>
    <t xml:space="preserve">ASE- FAM/FF -  Apoio Socio Educativo as Familias                                </t>
  </si>
  <si>
    <t xml:space="preserve">CALCAMENTO - CONT REP No 232.280-83/2007/MI/CAIXA                               </t>
  </si>
  <si>
    <t xml:space="preserve">BRALF - PROGR. P/ALFABET DE JOVENS E ADULTOS                                    </t>
  </si>
  <si>
    <t xml:space="preserve">IR DOACAO                                                                       </t>
  </si>
  <si>
    <t xml:space="preserve">MAPA CONV 4200135700177 (Rodovias)                                              </t>
  </si>
  <si>
    <t xml:space="preserve">MAPA-CONT.231.756-18/2007 FF - TRATOR AGROPECUARIO                              </t>
  </si>
  <si>
    <t xml:space="preserve">OPERACAO DE CREDITO - Prog Caminho da Escola                                    </t>
  </si>
  <si>
    <t xml:space="preserve">ACESSO AO BALNEARIO - E. Parl 20240001 M T - F Fed                              </t>
  </si>
  <si>
    <t xml:space="preserve">AMBULANCIA - Emenda  Parlamentar                                                </t>
  </si>
  <si>
    <t xml:space="preserve">APOIO ESCOA PROD Cont Rep 241.239-52/2007/MI CAIXA                              </t>
  </si>
  <si>
    <t xml:space="preserve">RESTAURACAO ASFALTICA CR 246.274-09/2007 - FF                                   </t>
  </si>
  <si>
    <t xml:space="preserve">PNAE - Ensino Medio                                                             </t>
  </si>
  <si>
    <t xml:space="preserve">PNAE EJA FF                                                                     </t>
  </si>
  <si>
    <t xml:space="preserve">AMPLIACAO REDE DE AGUA - FUNASA                                                 </t>
  </si>
  <si>
    <t xml:space="preserve">EQUIP PATRULHA AGRICOLA do  MAPA - E.P.                                         </t>
  </si>
  <si>
    <t xml:space="preserve">PROGRAMA HABITACIONAL FEDERAL - NOVO-2010                                       </t>
  </si>
  <si>
    <t xml:space="preserve">Recapeamento Asfaltico -CEF Programas Sociais                                   </t>
  </si>
  <si>
    <t xml:space="preserve">PAIF FF                                                                         </t>
  </si>
  <si>
    <t xml:space="preserve">VENDA DE LOTES PARA PROJ. MINHA CASA MINHA VIDA                                 </t>
  </si>
  <si>
    <t xml:space="preserve">CONSULTA POPULAR - EQUIPAMENTOS CONV 348/10 FE                                  </t>
  </si>
  <si>
    <t xml:space="preserve">IGD-SUAS FF                                                                     </t>
  </si>
  <si>
    <t xml:space="preserve">Consulta Popular 2009/2010 F. Est                                               </t>
  </si>
  <si>
    <t xml:space="preserve">PAVIMENTACAO - EMENDA PARLAMENTAR - V. CAMARGO FF                               </t>
  </si>
  <si>
    <t xml:space="preserve">PNAE MAIS EDUCACAO FF                                                           </t>
  </si>
  <si>
    <t xml:space="preserve">PNAE AEE                                                                        </t>
  </si>
  <si>
    <t xml:space="preserve">Programa de Atencao a Pessoa Idosa FMAS/F Est                                   </t>
  </si>
  <si>
    <t xml:space="preserve">CONV PEAS 148/2007 - Programa Asema FMAS/F Est                                  </t>
  </si>
  <si>
    <t xml:space="preserve">OASF/FEAS FE                                                                    </t>
  </si>
  <si>
    <t xml:space="preserve">Programa de Beneficios Eventuais FMAS/F Est                                     </t>
  </si>
  <si>
    <t xml:space="preserve">AUX GOV ESTADO - MEDICAMENTOS                                                   </t>
  </si>
  <si>
    <t xml:space="preserve">AUX GOV ESTAD - MEDIC E PINTURA(CONSUL POP 2004/5)                              </t>
  </si>
  <si>
    <t xml:space="preserve">Prog Primeira Infancia Melhor - PIM                                             </t>
  </si>
  <si>
    <t xml:space="preserve">Cozinha Comunitaria  Conv 60.122/06 F Est FMAS                                  </t>
  </si>
  <si>
    <t xml:space="preserve">Frentes Emergenciais de Trab Conv 50152/05 F Est                                </t>
  </si>
  <si>
    <t xml:space="preserve">ENCASCALHAMENTO - CONV 114/05 CONSUL POP  FE                                    </t>
  </si>
  <si>
    <t xml:space="preserve">Agua MormacRoq FacCONV SEC HAB/DESAN 1572/2008                                  </t>
  </si>
  <si>
    <t xml:space="preserve">Pit FE - PROGRAMA DE INTEGRACAO TRIBUTARIA                                      </t>
  </si>
  <si>
    <t xml:space="preserve"> APOIO AOS HOSPITAIS DO  S U S  T.C. 073/2008                                   </t>
  </si>
  <si>
    <t xml:space="preserve">MULTA DE TRANSITO FE                                                            </t>
  </si>
  <si>
    <t xml:space="preserve">MULTAS PREVISTA  LEGISL TRANSIT - R VINC (01 JUL)                               </t>
  </si>
  <si>
    <t xml:space="preserve">PROGRAMA HABITACIONAL ESTADUAL NOVO2010                                         </t>
  </si>
  <si>
    <t xml:space="preserve">MELHORIA DAS VIAS DE ACESSO RURAIS CONV 268/05 C.P                              </t>
  </si>
  <si>
    <t xml:space="preserve">PLANO DE ACOES PARA COMBATE A ESTIAGEM FE                                       </t>
  </si>
  <si>
    <t xml:space="preserve">REFORMA DO ESTADIO MUNICIPAL FF                                                 </t>
  </si>
  <si>
    <t xml:space="preserve">ROLO COMPACTADOR CONV 809031/2014 FF                                            </t>
  </si>
  <si>
    <t xml:space="preserve">Educacao - Origem : Alienacao de Bens                                           </t>
  </si>
  <si>
    <t xml:space="preserve">Saude - Origem : Alienacao de bens                                              </t>
  </si>
  <si>
    <t xml:space="preserve">MUNICIPIO RESOLVE+MUNICIP SOLIDAR  FE (Gestao SUS)                              </t>
  </si>
  <si>
    <t xml:space="preserve">ALIENACAO DE BENS ADQUIRODS COM RECURSOS DA SAUDE                               </t>
  </si>
  <si>
    <t xml:space="preserve">MUNICIPIO RESOLVE - GESTAO BASICA                                               </t>
  </si>
  <si>
    <t xml:space="preserve">ATENCAO BASICA PIES FE                                                          </t>
  </si>
  <si>
    <t xml:space="preserve">INVERNO GAUCHO  FE                                                              </t>
  </si>
  <si>
    <t xml:space="preserve">FARMACIA BASICA FE                                                              </t>
  </si>
  <si>
    <t xml:space="preserve">FARMACIA INSUMOS P/ CONTROLE DE DIABETES FE                                     </t>
  </si>
  <si>
    <t xml:space="preserve">FARMACIA DA SAUDE MENTAL                                                        </t>
  </si>
  <si>
    <t xml:space="preserve">PACS FE                                                                         </t>
  </si>
  <si>
    <t xml:space="preserve">PSF FE                                                                          </t>
  </si>
  <si>
    <t xml:space="preserve">PSF BUCAL FE                                                                    </t>
  </si>
  <si>
    <t xml:space="preserve">CEO/LRDP FE                                                                     </t>
  </si>
  <si>
    <t xml:space="preserve">LDPD-LAB. REG. PROTESE DENTARIA (TETO MAC) FE                                   </t>
  </si>
  <si>
    <t xml:space="preserve">PIM FE                                                                          </t>
  </si>
  <si>
    <t xml:space="preserve">VISA FE                                                                         </t>
  </si>
  <si>
    <t xml:space="preserve">PARCERIA RESOLVE - HOSPITAIS PUBL. MUNICIPAIS FE                                </t>
  </si>
  <si>
    <t xml:space="preserve">REGIONALIZACAO - AQUISICAO DE AMBULANCIA FE                                     </t>
  </si>
  <si>
    <t xml:space="preserve">Agua Mormaco - TC.178/09 PROSAN FE                                              </t>
  </si>
  <si>
    <t xml:space="preserve">AQUISICAO DE VEICULOS FE                                                        </t>
  </si>
  <si>
    <t xml:space="preserve">CONVENIO EST P/SAUDE - Aquisicao de veiculo                                     </t>
  </si>
  <si>
    <t xml:space="preserve">CONSTRUCOES OU AMPLIACOES FE                                                    </t>
  </si>
  <si>
    <t xml:space="preserve">CONSTRUCAO DE UBS/PSF FE                                                        </t>
  </si>
  <si>
    <t xml:space="preserve">ATENCAO BASICA FF                                                               </t>
  </si>
  <si>
    <t xml:space="preserve">VISA FF                                                                         </t>
  </si>
  <si>
    <t xml:space="preserve">ASSISTENCIA FARMACEUTICA FF                                                     </t>
  </si>
  <si>
    <t xml:space="preserve">PAB FIXO/TELESSAUDE                                                             </t>
  </si>
  <si>
    <t xml:space="preserve">ESF/BUCAL/PACS FF                                                               </t>
  </si>
  <si>
    <t xml:space="preserve">PACS FF                                                                         </t>
  </si>
  <si>
    <t xml:space="preserve">PSF BUCAL FF                                                                    </t>
  </si>
  <si>
    <t xml:space="preserve">LIMITE FINANCEIRO MAC AMBULATORIA E HOSPITALAR                                  </t>
  </si>
  <si>
    <t xml:space="preserve">FAEC - FUNDO DE ACOES ESTRATEGICAS E COMPENSACAO                                </t>
  </si>
  <si>
    <t xml:space="preserve">LIMITE FINANCEIRO VISA FF                                                       </t>
  </si>
  <si>
    <t xml:space="preserve">FORTALECIMENTO DA GESTAO DA VISA (VIGISUS II)                                   </t>
  </si>
  <si>
    <t xml:space="preserve">CAMPANHAS DE VACINACAO FF                                                       </t>
  </si>
  <si>
    <t xml:space="preserve">VIGILANCIA SANITARIA GERENCIAMENTO DE RISCOS FF                                 </t>
  </si>
  <si>
    <t xml:space="preserve">FARMACIA BASICA FIXA FF                                                         </t>
  </si>
  <si>
    <t xml:space="preserve">FARMACIA BASICA VARIAVEL   FF                                                   </t>
  </si>
  <si>
    <t xml:space="preserve">AQUISICAO DE EQUIPAMENTOS E MATERIAL PERMANENTE FF                              </t>
  </si>
  <si>
    <t xml:space="preserve">CONSTRUCAO OU AMPLIACAO DE UBS FF                                               </t>
  </si>
  <si>
    <t xml:space="preserve">CONVENIO FUNASA MELHORIAS SANITARIAS                                            </t>
  </si>
  <si>
    <t xml:space="preserve">Funasa Conv 652299 TC/PAC 1428/08                                               </t>
  </si>
  <si>
    <t xml:space="preserve">AMBULANCIA FUNDO A FUNDO                                                        </t>
  </si>
  <si>
    <t xml:space="preserve">......PVVPS - Vigil. Prev. Violencias e Acidentes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</si>
</sst>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0" fontId="0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7"/>
  <sheetViews>
    <sheetView tabSelected="1" workbookViewId="0">
      <pane xSplit="2" ySplit="5" topLeftCell="N15" activePane="bottomRight" state="frozen"/>
      <selection pane="topRight" activeCell="B1" sqref="B1"/>
      <selection pane="bottomLeft" activeCell="A6" sqref="A6"/>
      <selection pane="bottomRight" activeCell="Q6" sqref="Q6"/>
    </sheetView>
  </sheetViews>
  <sheetFormatPr defaultRowHeight="15" x14ac:dyDescent="0.25"/>
  <cols>
    <col min="2" max="2" width="43.140625" bestFit="1" customWidth="1"/>
    <col min="3" max="3" width="15.42578125" style="1" bestFit="1" customWidth="1"/>
    <col min="4" max="4" width="15.85546875" style="1" bestFit="1" customWidth="1"/>
    <col min="5" max="6" width="13.28515625" style="1" bestFit="1" customWidth="1"/>
    <col min="7" max="7" width="11.28515625" style="1" bestFit="1" customWidth="1"/>
    <col min="8" max="8" width="15" style="1" bestFit="1" customWidth="1"/>
    <col min="9" max="9" width="12.140625" style="1" bestFit="1" customWidth="1"/>
    <col min="10" max="10" width="10.5703125" style="1" bestFit="1" customWidth="1"/>
    <col min="11" max="11" width="13.7109375" style="1" bestFit="1" customWidth="1"/>
    <col min="12" max="12" width="13.140625" style="1" bestFit="1" customWidth="1"/>
    <col min="13" max="13" width="17.85546875" style="1" bestFit="1" customWidth="1"/>
    <col min="14" max="14" width="18.28515625" style="1" bestFit="1" customWidth="1"/>
    <col min="15" max="15" width="12.85546875" style="1" bestFit="1" customWidth="1"/>
    <col min="17" max="17" width="12.140625" style="1" bestFit="1" customWidth="1"/>
    <col min="18" max="18" width="10" style="1" bestFit="1" customWidth="1"/>
    <col min="19" max="19" width="18.5703125" style="1" bestFit="1" customWidth="1"/>
    <col min="20" max="20" width="12.85546875" style="1" bestFit="1" customWidth="1"/>
  </cols>
  <sheetData>
    <row r="1" spans="1:20" x14ac:dyDescent="0.25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5">
      <c r="D2"/>
      <c r="E2"/>
      <c r="F2"/>
      <c r="G2"/>
      <c r="H2"/>
      <c r="I2"/>
      <c r="J2"/>
      <c r="K2"/>
      <c r="L2"/>
      <c r="M2"/>
      <c r="N2" s="2" t="s">
        <v>0</v>
      </c>
      <c r="O2" s="3">
        <v>42490</v>
      </c>
      <c r="Q2"/>
      <c r="R2"/>
      <c r="S2"/>
      <c r="T2"/>
    </row>
    <row r="3" spans="1:20" x14ac:dyDescent="0.25">
      <c r="A3" s="9" t="s">
        <v>36</v>
      </c>
      <c r="B3" s="9" t="s">
        <v>1</v>
      </c>
      <c r="C3" s="9" t="s">
        <v>12</v>
      </c>
      <c r="D3" s="9"/>
      <c r="E3" s="9"/>
      <c r="F3" s="9" t="s">
        <v>11</v>
      </c>
      <c r="G3" s="9"/>
      <c r="H3" s="9"/>
      <c r="I3" s="9"/>
      <c r="J3" s="9"/>
      <c r="K3" s="9"/>
      <c r="L3" s="9"/>
      <c r="M3" s="9"/>
      <c r="N3" s="9"/>
      <c r="O3" s="9" t="s">
        <v>9</v>
      </c>
      <c r="Q3" s="9" t="s">
        <v>30</v>
      </c>
      <c r="R3" s="9"/>
      <c r="S3" s="9"/>
      <c r="T3" s="9"/>
    </row>
    <row r="4" spans="1:20" x14ac:dyDescent="0.25">
      <c r="A4" s="9"/>
      <c r="B4" s="9"/>
      <c r="C4" s="4" t="s">
        <v>22</v>
      </c>
      <c r="D4" s="4" t="s">
        <v>2</v>
      </c>
      <c r="E4" s="4" t="s">
        <v>10</v>
      </c>
      <c r="F4" s="4" t="s">
        <v>3</v>
      </c>
      <c r="G4" s="4" t="s">
        <v>24</v>
      </c>
      <c r="H4" s="4" t="s">
        <v>25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10</v>
      </c>
      <c r="O4" s="9"/>
      <c r="Q4" s="9"/>
      <c r="R4" s="9"/>
      <c r="S4" s="9"/>
      <c r="T4" s="9"/>
    </row>
    <row r="5" spans="1:20" x14ac:dyDescent="0.25">
      <c r="A5" s="9"/>
      <c r="B5" s="9"/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26</v>
      </c>
      <c r="M5" s="4" t="s">
        <v>27</v>
      </c>
      <c r="N5" s="4" t="s">
        <v>29</v>
      </c>
      <c r="O5" s="4" t="s">
        <v>28</v>
      </c>
      <c r="Q5" s="4" t="s">
        <v>31</v>
      </c>
      <c r="R5" s="4" t="s">
        <v>32</v>
      </c>
      <c r="S5" s="4" t="s">
        <v>33</v>
      </c>
      <c r="T5" s="4" t="s">
        <v>34</v>
      </c>
    </row>
    <row r="6" spans="1:20" x14ac:dyDescent="0.25">
      <c r="A6" s="5">
        <v>1</v>
      </c>
      <c r="B6" s="5" t="s">
        <v>37</v>
      </c>
      <c r="C6" s="6">
        <v>1036827.75</v>
      </c>
      <c r="D6" s="6">
        <v>6692990.1100000013</v>
      </c>
      <c r="E6" s="6">
        <f>C6+D6</f>
        <v>7729817.8600000013</v>
      </c>
      <c r="F6" s="6">
        <v>3506522.6999999993</v>
      </c>
      <c r="G6" s="6">
        <v>0</v>
      </c>
      <c r="H6" s="6">
        <v>0</v>
      </c>
      <c r="I6" s="6">
        <v>1302722.9400000018</v>
      </c>
      <c r="J6" s="6">
        <v>131174.09999999963</v>
      </c>
      <c r="K6" s="6">
        <v>7257.6900000000314</v>
      </c>
      <c r="L6" s="6">
        <v>73188.409999999974</v>
      </c>
      <c r="M6" s="6">
        <v>673754.76</v>
      </c>
      <c r="N6" s="6">
        <f>F6-G6+H6+I6+J6+K6+L6+M6</f>
        <v>5694620.6000000006</v>
      </c>
      <c r="O6" s="6">
        <f>E6-N6</f>
        <v>2035197.2600000007</v>
      </c>
      <c r="Q6" s="6">
        <f>IF(O6&lt;0,IF(O6*-1&lt;F6-G6+H6,O6*-1,F6-G6+H6),0)</f>
        <v>0</v>
      </c>
      <c r="R6" s="6">
        <f>IF(AND(O6&gt;0,G6&gt;0),IF(O6&gt;G6,G6,O6),0)</f>
        <v>0</v>
      </c>
      <c r="S6" s="6">
        <f t="shared" ref="S6:S8" si="0">IF(Q6&gt;0,IF(Q6&lt;O6*-1,IF((Q6+O6)*-1&gt;I6,I6,(Q6+O6)*-1),0),0)</f>
        <v>0</v>
      </c>
      <c r="T6" s="6">
        <f t="shared" ref="T6:T8" si="1">IF(O6&lt;0,IF(Q6+S6&lt;O6*-1,Q6+S6+O6,0),0)</f>
        <v>0</v>
      </c>
    </row>
    <row r="7" spans="1:20" x14ac:dyDescent="0.25">
      <c r="A7" s="5">
        <v>20</v>
      </c>
      <c r="B7" s="5" t="s">
        <v>38</v>
      </c>
      <c r="C7" s="6">
        <v>0</v>
      </c>
      <c r="D7" s="6">
        <v>652924.42999999993</v>
      </c>
      <c r="E7" s="6">
        <f t="shared" ref="E7:E51" si="2">C7+D7</f>
        <v>652924.42999999993</v>
      </c>
      <c r="F7" s="6">
        <v>950840.13</v>
      </c>
      <c r="G7" s="6">
        <v>0</v>
      </c>
      <c r="H7" s="6">
        <v>0</v>
      </c>
      <c r="I7" s="6">
        <v>345327.8000000001</v>
      </c>
      <c r="J7" s="6">
        <v>60161.619999999937</v>
      </c>
      <c r="K7" s="6">
        <v>364.44</v>
      </c>
      <c r="L7" s="6"/>
      <c r="M7" s="6"/>
      <c r="N7" s="6">
        <f t="shared" ref="N7:N9" si="3">F7-G7+H7+I7+J7+K7+L7+M7</f>
        <v>1356693.99</v>
      </c>
      <c r="O7" s="6">
        <f>E7-N7</f>
        <v>-703769.56</v>
      </c>
      <c r="Q7" s="6">
        <f>IF(O7&lt;0,IF(O7*-1&lt;F7-G7+H7,O7*-1,F7-G7+H7),0)</f>
        <v>703769.56</v>
      </c>
      <c r="R7" s="6">
        <f t="shared" ref="R7:R9" si="4">IF(AND(O7&gt;0,G7&gt;0),IF(O7&gt;G7,G7,O7),0)</f>
        <v>0</v>
      </c>
      <c r="S7" s="6">
        <f t="shared" si="0"/>
        <v>0</v>
      </c>
      <c r="T7" s="6">
        <f t="shared" si="1"/>
        <v>0</v>
      </c>
    </row>
    <row r="8" spans="1:20" x14ac:dyDescent="0.25">
      <c r="A8" s="5">
        <v>30</v>
      </c>
      <c r="B8" s="5" t="s">
        <v>39</v>
      </c>
      <c r="C8" s="6">
        <v>0</v>
      </c>
      <c r="D8" s="6">
        <v>0</v>
      </c>
      <c r="E8" s="6">
        <f t="shared" si="2"/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/>
      <c r="M8" s="6"/>
      <c r="N8" s="6">
        <f t="shared" si="3"/>
        <v>0</v>
      </c>
      <c r="O8" s="6">
        <f>E8-N8</f>
        <v>0</v>
      </c>
      <c r="Q8" s="6">
        <f t="shared" ref="Q8:Q9" si="5">IF(O8&lt;0,IF(O8*-1&lt;F8-G8+H8,O8*-1,F8-G8+H8),0)</f>
        <v>0</v>
      </c>
      <c r="R8" s="6">
        <f t="shared" si="4"/>
        <v>0</v>
      </c>
      <c r="S8" s="6">
        <f t="shared" si="0"/>
        <v>0</v>
      </c>
      <c r="T8" s="6">
        <f t="shared" si="1"/>
        <v>0</v>
      </c>
    </row>
    <row r="9" spans="1:20" x14ac:dyDescent="0.25">
      <c r="A9" s="5">
        <v>31</v>
      </c>
      <c r="B9" s="5" t="s">
        <v>40</v>
      </c>
      <c r="C9" s="6">
        <v>90054.96</v>
      </c>
      <c r="D9" s="6">
        <v>1295474.7499999991</v>
      </c>
      <c r="E9" s="6">
        <f t="shared" si="2"/>
        <v>1385529.709999999</v>
      </c>
      <c r="F9" s="6">
        <v>1198053.2399999998</v>
      </c>
      <c r="G9" s="6">
        <v>0</v>
      </c>
      <c r="H9" s="6">
        <v>0</v>
      </c>
      <c r="I9" s="6">
        <v>64833.329999999958</v>
      </c>
      <c r="J9" s="6">
        <v>1033.3099999999395</v>
      </c>
      <c r="K9" s="6">
        <v>0</v>
      </c>
      <c r="L9" s="6"/>
      <c r="M9" s="6"/>
      <c r="N9" s="6">
        <f t="shared" si="3"/>
        <v>1263919.8799999999</v>
      </c>
      <c r="O9" s="6">
        <f>E9-N9</f>
        <v>121609.82999999914</v>
      </c>
      <c r="Q9" s="6">
        <f t="shared" si="5"/>
        <v>0</v>
      </c>
      <c r="R9" s="6">
        <f t="shared" si="4"/>
        <v>0</v>
      </c>
      <c r="S9" s="6">
        <f>IF(Q9&gt;0,IF(Q9&lt;O9*-1,IF((Q9+O9)*-1&gt;I9,I9,(Q9+O9)*-1),0),0)</f>
        <v>0</v>
      </c>
      <c r="T9" s="6">
        <f>IF(O9&lt;0,IF(Q9+S9&lt;O9*-1,Q9+S9+O9,0),0)</f>
        <v>0</v>
      </c>
    </row>
    <row r="10" spans="1:20" x14ac:dyDescent="0.25">
      <c r="A10" s="5">
        <v>40</v>
      </c>
      <c r="B10" s="5" t="s">
        <v>41</v>
      </c>
      <c r="C10" s="6">
        <v>0</v>
      </c>
      <c r="D10" s="6">
        <v>1451436.7599999998</v>
      </c>
      <c r="E10" s="6">
        <f t="shared" si="2"/>
        <v>1451436.7599999998</v>
      </c>
      <c r="F10" s="6">
        <v>1851430.3199999998</v>
      </c>
      <c r="G10" s="6">
        <v>0</v>
      </c>
      <c r="H10" s="6">
        <v>0</v>
      </c>
      <c r="I10" s="6">
        <v>590916.13000000047</v>
      </c>
      <c r="J10" s="6">
        <v>81671.520000000135</v>
      </c>
      <c r="K10" s="6">
        <v>1708.8799999999997</v>
      </c>
      <c r="L10" s="6"/>
      <c r="M10" s="6"/>
      <c r="N10" s="6">
        <f t="shared" ref="N10:N51" si="6">F10-G10+H10+I10+J10+K10+L10+M10</f>
        <v>2525726.85</v>
      </c>
      <c r="O10" s="6">
        <f t="shared" ref="O10:O51" si="7">E10-N10</f>
        <v>-1074290.0900000003</v>
      </c>
      <c r="Q10" s="6">
        <f t="shared" ref="Q10:Q51" si="8">IF(O10&lt;0,IF(O10*-1&lt;F10-G10+H10,O10*-1,F10-G10+H10),0)</f>
        <v>1074290.0900000003</v>
      </c>
      <c r="R10" s="6">
        <f t="shared" ref="R10:R51" si="9">IF(AND(O10&gt;0,G10&gt;0),IF(O10&gt;G10,G10,O10),0)</f>
        <v>0</v>
      </c>
      <c r="S10" s="6">
        <f t="shared" ref="S10:S51" si="10">IF(Q10&gt;0,IF(Q10&lt;O10*-1,IF((Q10+O10)*-1&gt;I10,I10,(Q10+O10)*-1),0),0)</f>
        <v>0</v>
      </c>
      <c r="T10" s="6">
        <f t="shared" ref="T10:T51" si="11">IF(O10&lt;0,IF(Q10+S10&lt;O10*-1,Q10+S10+O10,0),0)</f>
        <v>0</v>
      </c>
    </row>
    <row r="11" spans="1:20" x14ac:dyDescent="0.25">
      <c r="A11" s="5">
        <v>50</v>
      </c>
      <c r="B11" s="5" t="s">
        <v>42</v>
      </c>
      <c r="C11" s="6">
        <v>0</v>
      </c>
      <c r="D11" s="6">
        <v>0</v>
      </c>
      <c r="E11" s="6">
        <f t="shared" si="2"/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/>
      <c r="M11" s="6"/>
      <c r="N11" s="6">
        <f t="shared" si="6"/>
        <v>0</v>
      </c>
      <c r="O11" s="6">
        <f t="shared" si="7"/>
        <v>0</v>
      </c>
      <c r="Q11" s="6">
        <f t="shared" si="8"/>
        <v>0</v>
      </c>
      <c r="R11" s="6">
        <f t="shared" si="9"/>
        <v>0</v>
      </c>
      <c r="S11" s="6">
        <f t="shared" si="10"/>
        <v>0</v>
      </c>
      <c r="T11" s="6">
        <f t="shared" si="11"/>
        <v>0</v>
      </c>
    </row>
    <row r="12" spans="1:20" x14ac:dyDescent="0.25">
      <c r="A12" s="5">
        <v>400</v>
      </c>
      <c r="B12" s="5" t="s">
        <v>43</v>
      </c>
      <c r="C12" s="6">
        <v>0</v>
      </c>
      <c r="D12" s="6">
        <v>0</v>
      </c>
      <c r="E12" s="6">
        <f t="shared" si="2"/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/>
      <c r="M12" s="6"/>
      <c r="N12" s="6">
        <f t="shared" si="6"/>
        <v>0</v>
      </c>
      <c r="O12" s="6">
        <f t="shared" si="7"/>
        <v>0</v>
      </c>
      <c r="Q12" s="6">
        <f t="shared" si="8"/>
        <v>0</v>
      </c>
      <c r="R12" s="6">
        <f t="shared" si="9"/>
        <v>0</v>
      </c>
      <c r="S12" s="6">
        <f t="shared" si="10"/>
        <v>0</v>
      </c>
      <c r="T12" s="6">
        <f t="shared" si="11"/>
        <v>0</v>
      </c>
    </row>
    <row r="13" spans="1:20" x14ac:dyDescent="0.25">
      <c r="A13" s="5">
        <v>1001</v>
      </c>
      <c r="B13" s="5" t="s">
        <v>44</v>
      </c>
      <c r="C13" s="6">
        <v>3612</v>
      </c>
      <c r="D13" s="6">
        <v>14304</v>
      </c>
      <c r="E13" s="6">
        <f t="shared" si="2"/>
        <v>17916</v>
      </c>
      <c r="F13" s="6">
        <v>496.40000000000146</v>
      </c>
      <c r="G13" s="6">
        <v>0</v>
      </c>
      <c r="H13" s="6">
        <v>0</v>
      </c>
      <c r="I13" s="6">
        <v>15265.599999999999</v>
      </c>
      <c r="J13" s="6">
        <v>0</v>
      </c>
      <c r="K13" s="6">
        <v>0</v>
      </c>
      <c r="L13" s="6"/>
      <c r="M13" s="6"/>
      <c r="N13" s="6">
        <f t="shared" si="6"/>
        <v>15762</v>
      </c>
      <c r="O13" s="6">
        <f t="shared" si="7"/>
        <v>2154</v>
      </c>
      <c r="Q13" s="6">
        <f t="shared" si="8"/>
        <v>0</v>
      </c>
      <c r="R13" s="6">
        <f t="shared" si="9"/>
        <v>0</v>
      </c>
      <c r="S13" s="6">
        <f t="shared" si="10"/>
        <v>0</v>
      </c>
      <c r="T13" s="6">
        <f t="shared" si="11"/>
        <v>0</v>
      </c>
    </row>
    <row r="14" spans="1:20" x14ac:dyDescent="0.25">
      <c r="A14" s="5">
        <v>1002</v>
      </c>
      <c r="B14" s="5" t="s">
        <v>45</v>
      </c>
      <c r="C14" s="6">
        <v>0</v>
      </c>
      <c r="D14" s="6">
        <v>0</v>
      </c>
      <c r="E14" s="6">
        <f t="shared" si="2"/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/>
      <c r="M14" s="6"/>
      <c r="N14" s="6">
        <f t="shared" si="6"/>
        <v>0</v>
      </c>
      <c r="O14" s="6">
        <f t="shared" si="7"/>
        <v>0</v>
      </c>
      <c r="Q14" s="6">
        <f t="shared" si="8"/>
        <v>0</v>
      </c>
      <c r="R14" s="6">
        <f t="shared" si="9"/>
        <v>0</v>
      </c>
      <c r="S14" s="6">
        <f t="shared" si="10"/>
        <v>0</v>
      </c>
      <c r="T14" s="6">
        <f t="shared" si="11"/>
        <v>0</v>
      </c>
    </row>
    <row r="15" spans="1:20" x14ac:dyDescent="0.25">
      <c r="A15" s="5">
        <v>1003</v>
      </c>
      <c r="B15" s="5" t="s">
        <v>46</v>
      </c>
      <c r="C15" s="6">
        <v>3815.86</v>
      </c>
      <c r="D15" s="6">
        <v>0</v>
      </c>
      <c r="E15" s="6">
        <f t="shared" si="2"/>
        <v>3815.86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/>
      <c r="M15" s="6"/>
      <c r="N15" s="6">
        <f t="shared" si="6"/>
        <v>0</v>
      </c>
      <c r="O15" s="6">
        <f t="shared" si="7"/>
        <v>3815.86</v>
      </c>
      <c r="Q15" s="6">
        <f t="shared" si="8"/>
        <v>0</v>
      </c>
      <c r="R15" s="6">
        <f t="shared" si="9"/>
        <v>0</v>
      </c>
      <c r="S15" s="6">
        <f t="shared" si="10"/>
        <v>0</v>
      </c>
      <c r="T15" s="6">
        <f t="shared" si="11"/>
        <v>0</v>
      </c>
    </row>
    <row r="16" spans="1:20" x14ac:dyDescent="0.25">
      <c r="A16" s="5">
        <v>1004</v>
      </c>
      <c r="B16" s="5" t="s">
        <v>47</v>
      </c>
      <c r="C16" s="6">
        <v>0</v>
      </c>
      <c r="D16" s="6">
        <v>0</v>
      </c>
      <c r="E16" s="6">
        <f t="shared" si="2"/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/>
      <c r="M16" s="6"/>
      <c r="N16" s="6">
        <f t="shared" si="6"/>
        <v>0</v>
      </c>
      <c r="O16" s="6">
        <f t="shared" si="7"/>
        <v>0</v>
      </c>
      <c r="Q16" s="6">
        <f t="shared" si="8"/>
        <v>0</v>
      </c>
      <c r="R16" s="6">
        <f t="shared" si="9"/>
        <v>0</v>
      </c>
      <c r="S16" s="6">
        <f t="shared" si="10"/>
        <v>0</v>
      </c>
      <c r="T16" s="6">
        <f t="shared" si="11"/>
        <v>0</v>
      </c>
    </row>
    <row r="17" spans="1:20" x14ac:dyDescent="0.25">
      <c r="A17" s="5">
        <v>1005</v>
      </c>
      <c r="B17" s="5" t="s">
        <v>48</v>
      </c>
      <c r="C17" s="6">
        <v>15180.79</v>
      </c>
      <c r="D17" s="6">
        <v>4037.7000000000007</v>
      </c>
      <c r="E17" s="6">
        <f t="shared" si="2"/>
        <v>19218.490000000002</v>
      </c>
      <c r="F17" s="6">
        <v>14545.000000000002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/>
      <c r="M17" s="6"/>
      <c r="N17" s="6">
        <f t="shared" si="6"/>
        <v>14545.000000000002</v>
      </c>
      <c r="O17" s="6">
        <f t="shared" si="7"/>
        <v>4673.49</v>
      </c>
      <c r="Q17" s="6">
        <f t="shared" si="8"/>
        <v>0</v>
      </c>
      <c r="R17" s="6">
        <f t="shared" si="9"/>
        <v>0</v>
      </c>
      <c r="S17" s="6">
        <f t="shared" si="10"/>
        <v>0</v>
      </c>
      <c r="T17" s="6">
        <f t="shared" si="11"/>
        <v>0</v>
      </c>
    </row>
    <row r="18" spans="1:20" x14ac:dyDescent="0.25">
      <c r="A18" s="5">
        <v>1006</v>
      </c>
      <c r="B18" s="5" t="s">
        <v>49</v>
      </c>
      <c r="C18" s="6">
        <v>0</v>
      </c>
      <c r="D18" s="6">
        <v>0</v>
      </c>
      <c r="E18" s="6">
        <f t="shared" si="2"/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/>
      <c r="M18" s="6"/>
      <c r="N18" s="6">
        <f t="shared" si="6"/>
        <v>0</v>
      </c>
      <c r="O18" s="6">
        <f t="shared" si="7"/>
        <v>0</v>
      </c>
      <c r="Q18" s="6">
        <f t="shared" si="8"/>
        <v>0</v>
      </c>
      <c r="R18" s="6">
        <f t="shared" si="9"/>
        <v>0</v>
      </c>
      <c r="S18" s="6">
        <f t="shared" si="10"/>
        <v>0</v>
      </c>
      <c r="T18" s="6">
        <f t="shared" si="11"/>
        <v>0</v>
      </c>
    </row>
    <row r="19" spans="1:20" x14ac:dyDescent="0.25">
      <c r="A19" s="5">
        <v>1007</v>
      </c>
      <c r="B19" s="5" t="s">
        <v>50</v>
      </c>
      <c r="C19" s="6">
        <v>0</v>
      </c>
      <c r="D19" s="6">
        <v>0</v>
      </c>
      <c r="E19" s="6">
        <f t="shared" si="2"/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/>
      <c r="M19" s="6"/>
      <c r="N19" s="6">
        <f t="shared" si="6"/>
        <v>0</v>
      </c>
      <c r="O19" s="6">
        <f t="shared" si="7"/>
        <v>0</v>
      </c>
      <c r="Q19" s="6">
        <f t="shared" si="8"/>
        <v>0</v>
      </c>
      <c r="R19" s="6">
        <f t="shared" si="9"/>
        <v>0</v>
      </c>
      <c r="S19" s="6">
        <f t="shared" si="10"/>
        <v>0</v>
      </c>
      <c r="T19" s="6">
        <f t="shared" si="11"/>
        <v>0</v>
      </c>
    </row>
    <row r="20" spans="1:20" x14ac:dyDescent="0.25">
      <c r="A20" s="5">
        <v>1008</v>
      </c>
      <c r="B20" s="5" t="s">
        <v>51</v>
      </c>
      <c r="C20" s="6">
        <v>0</v>
      </c>
      <c r="D20" s="6">
        <v>0</v>
      </c>
      <c r="E20" s="6">
        <f t="shared" si="2"/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/>
      <c r="M20" s="6"/>
      <c r="N20" s="6">
        <f t="shared" si="6"/>
        <v>0</v>
      </c>
      <c r="O20" s="6">
        <f t="shared" si="7"/>
        <v>0</v>
      </c>
      <c r="Q20" s="6">
        <f t="shared" si="8"/>
        <v>0</v>
      </c>
      <c r="R20" s="6">
        <f t="shared" si="9"/>
        <v>0</v>
      </c>
      <c r="S20" s="6">
        <f t="shared" si="10"/>
        <v>0</v>
      </c>
      <c r="T20" s="6">
        <f t="shared" si="11"/>
        <v>0</v>
      </c>
    </row>
    <row r="21" spans="1:20" x14ac:dyDescent="0.25">
      <c r="A21" s="5">
        <v>1009</v>
      </c>
      <c r="B21" s="5" t="s">
        <v>52</v>
      </c>
      <c r="C21" s="6">
        <v>0</v>
      </c>
      <c r="D21" s="6">
        <v>0</v>
      </c>
      <c r="E21" s="6">
        <f t="shared" si="2"/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/>
      <c r="M21" s="6"/>
      <c r="N21" s="6">
        <f t="shared" si="6"/>
        <v>0</v>
      </c>
      <c r="O21" s="6">
        <f t="shared" si="7"/>
        <v>0</v>
      </c>
      <c r="Q21" s="6">
        <f t="shared" si="8"/>
        <v>0</v>
      </c>
      <c r="R21" s="6">
        <f t="shared" si="9"/>
        <v>0</v>
      </c>
      <c r="S21" s="6">
        <f t="shared" si="10"/>
        <v>0</v>
      </c>
      <c r="T21" s="6">
        <f t="shared" si="11"/>
        <v>0</v>
      </c>
    </row>
    <row r="22" spans="1:20" x14ac:dyDescent="0.25">
      <c r="A22" s="5">
        <v>1010</v>
      </c>
      <c r="B22" s="5" t="s">
        <v>53</v>
      </c>
      <c r="C22" s="6">
        <v>0</v>
      </c>
      <c r="D22" s="6">
        <v>0</v>
      </c>
      <c r="E22" s="6">
        <f t="shared" si="2"/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/>
      <c r="M22" s="6"/>
      <c r="N22" s="6">
        <f t="shared" si="6"/>
        <v>0</v>
      </c>
      <c r="O22" s="6">
        <f t="shared" si="7"/>
        <v>0</v>
      </c>
      <c r="Q22" s="6">
        <f t="shared" si="8"/>
        <v>0</v>
      </c>
      <c r="R22" s="6">
        <f t="shared" si="9"/>
        <v>0</v>
      </c>
      <c r="S22" s="6">
        <f t="shared" si="10"/>
        <v>0</v>
      </c>
      <c r="T22" s="6">
        <f t="shared" si="11"/>
        <v>0</v>
      </c>
    </row>
    <row r="23" spans="1:20" x14ac:dyDescent="0.25">
      <c r="A23" s="5">
        <v>1011</v>
      </c>
      <c r="B23" s="5" t="s">
        <v>54</v>
      </c>
      <c r="C23" s="6">
        <v>0</v>
      </c>
      <c r="D23" s="6">
        <v>0</v>
      </c>
      <c r="E23" s="6">
        <f t="shared" si="2"/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/>
      <c r="M23" s="6"/>
      <c r="N23" s="6">
        <f t="shared" si="6"/>
        <v>0</v>
      </c>
      <c r="O23" s="6">
        <f t="shared" si="7"/>
        <v>0</v>
      </c>
      <c r="Q23" s="6">
        <f t="shared" si="8"/>
        <v>0</v>
      </c>
      <c r="R23" s="6">
        <f t="shared" si="9"/>
        <v>0</v>
      </c>
      <c r="S23" s="6">
        <f t="shared" si="10"/>
        <v>0</v>
      </c>
      <c r="T23" s="6">
        <f t="shared" si="11"/>
        <v>0</v>
      </c>
    </row>
    <row r="24" spans="1:20" x14ac:dyDescent="0.25">
      <c r="A24" s="5">
        <v>1012</v>
      </c>
      <c r="B24" s="5" t="s">
        <v>55</v>
      </c>
      <c r="C24" s="6">
        <v>5258.71</v>
      </c>
      <c r="D24" s="6">
        <v>51.02</v>
      </c>
      <c r="E24" s="6">
        <f t="shared" si="2"/>
        <v>5309.7300000000005</v>
      </c>
      <c r="F24" s="6">
        <v>28.739999999999782</v>
      </c>
      <c r="G24" s="6">
        <v>0</v>
      </c>
      <c r="H24" s="6">
        <v>0</v>
      </c>
      <c r="I24" s="6">
        <v>5072.46</v>
      </c>
      <c r="J24" s="6">
        <v>0</v>
      </c>
      <c r="K24" s="6">
        <v>0</v>
      </c>
      <c r="L24" s="6"/>
      <c r="M24" s="6"/>
      <c r="N24" s="6">
        <f t="shared" si="6"/>
        <v>5101.2</v>
      </c>
      <c r="O24" s="6">
        <f t="shared" si="7"/>
        <v>208.53000000000065</v>
      </c>
      <c r="Q24" s="6">
        <f t="shared" si="8"/>
        <v>0</v>
      </c>
      <c r="R24" s="6">
        <f t="shared" si="9"/>
        <v>0</v>
      </c>
      <c r="S24" s="6">
        <f t="shared" si="10"/>
        <v>0</v>
      </c>
      <c r="T24" s="6">
        <f t="shared" si="11"/>
        <v>0</v>
      </c>
    </row>
    <row r="25" spans="1:20" x14ac:dyDescent="0.25">
      <c r="A25" s="5">
        <v>1013</v>
      </c>
      <c r="B25" s="5" t="s">
        <v>56</v>
      </c>
      <c r="C25" s="6">
        <v>0</v>
      </c>
      <c r="D25" s="6">
        <v>0</v>
      </c>
      <c r="E25" s="6">
        <f t="shared" si="2"/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/>
      <c r="M25" s="6"/>
      <c r="N25" s="6">
        <f t="shared" si="6"/>
        <v>0</v>
      </c>
      <c r="O25" s="6">
        <f t="shared" si="7"/>
        <v>0</v>
      </c>
      <c r="Q25" s="6">
        <f t="shared" si="8"/>
        <v>0</v>
      </c>
      <c r="R25" s="6">
        <f t="shared" si="9"/>
        <v>0</v>
      </c>
      <c r="S25" s="6">
        <f t="shared" si="10"/>
        <v>0</v>
      </c>
      <c r="T25" s="6">
        <f t="shared" si="11"/>
        <v>0</v>
      </c>
    </row>
    <row r="26" spans="1:20" x14ac:dyDescent="0.25">
      <c r="A26" s="5">
        <v>1014</v>
      </c>
      <c r="B26" s="5" t="s">
        <v>57</v>
      </c>
      <c r="C26" s="6">
        <v>53725.72</v>
      </c>
      <c r="D26" s="6">
        <v>115661.35</v>
      </c>
      <c r="E26" s="6">
        <f t="shared" si="2"/>
        <v>169387.07</v>
      </c>
      <c r="F26" s="6">
        <v>134073.91999999998</v>
      </c>
      <c r="G26" s="6">
        <v>9573.77</v>
      </c>
      <c r="H26" s="6">
        <v>0</v>
      </c>
      <c r="I26" s="6">
        <v>45546.52</v>
      </c>
      <c r="J26" s="6">
        <v>0</v>
      </c>
      <c r="K26" s="6">
        <v>0</v>
      </c>
      <c r="L26" s="6"/>
      <c r="M26" s="6"/>
      <c r="N26" s="6">
        <f t="shared" si="6"/>
        <v>170046.66999999998</v>
      </c>
      <c r="O26" s="6">
        <f t="shared" si="7"/>
        <v>-659.59999999997672</v>
      </c>
      <c r="Q26" s="6">
        <f t="shared" si="8"/>
        <v>659.59999999997672</v>
      </c>
      <c r="R26" s="6">
        <f t="shared" si="9"/>
        <v>0</v>
      </c>
      <c r="S26" s="6">
        <f t="shared" si="10"/>
        <v>0</v>
      </c>
      <c r="T26" s="6">
        <f t="shared" si="11"/>
        <v>0</v>
      </c>
    </row>
    <row r="27" spans="1:20" x14ac:dyDescent="0.25">
      <c r="A27" s="5">
        <v>1015</v>
      </c>
      <c r="B27" s="5" t="s">
        <v>58</v>
      </c>
      <c r="C27" s="6">
        <v>0</v>
      </c>
      <c r="D27" s="6">
        <v>0</v>
      </c>
      <c r="E27" s="6">
        <f t="shared" si="2"/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/>
      <c r="M27" s="6"/>
      <c r="N27" s="6">
        <f t="shared" si="6"/>
        <v>0</v>
      </c>
      <c r="O27" s="6">
        <f t="shared" si="7"/>
        <v>0</v>
      </c>
      <c r="Q27" s="6">
        <f t="shared" si="8"/>
        <v>0</v>
      </c>
      <c r="R27" s="6">
        <f t="shared" si="9"/>
        <v>0</v>
      </c>
      <c r="S27" s="6">
        <f t="shared" si="10"/>
        <v>0</v>
      </c>
      <c r="T27" s="6">
        <f t="shared" si="11"/>
        <v>0</v>
      </c>
    </row>
    <row r="28" spans="1:20" x14ac:dyDescent="0.25">
      <c r="A28" s="5">
        <v>1016</v>
      </c>
      <c r="B28" s="5" t="s">
        <v>59</v>
      </c>
      <c r="C28" s="6">
        <v>14768.69</v>
      </c>
      <c r="D28" s="6">
        <v>34219.949999999997</v>
      </c>
      <c r="E28" s="6">
        <f t="shared" si="2"/>
        <v>48988.639999999999</v>
      </c>
      <c r="F28" s="6">
        <v>37242.429999999993</v>
      </c>
      <c r="G28" s="6">
        <v>0</v>
      </c>
      <c r="H28" s="6">
        <v>0</v>
      </c>
      <c r="I28" s="6">
        <v>8740</v>
      </c>
      <c r="J28" s="6">
        <v>2903.2</v>
      </c>
      <c r="K28" s="6">
        <v>0</v>
      </c>
      <c r="L28" s="6"/>
      <c r="M28" s="6"/>
      <c r="N28" s="6">
        <f t="shared" si="6"/>
        <v>48885.62999999999</v>
      </c>
      <c r="O28" s="6">
        <f t="shared" si="7"/>
        <v>103.01000000000931</v>
      </c>
      <c r="Q28" s="6">
        <f t="shared" si="8"/>
        <v>0</v>
      </c>
      <c r="R28" s="6">
        <f t="shared" si="9"/>
        <v>0</v>
      </c>
      <c r="S28" s="6">
        <f t="shared" si="10"/>
        <v>0</v>
      </c>
      <c r="T28" s="6">
        <f t="shared" si="11"/>
        <v>0</v>
      </c>
    </row>
    <row r="29" spans="1:20" x14ac:dyDescent="0.25">
      <c r="A29" s="5">
        <v>1017</v>
      </c>
      <c r="B29" s="5" t="s">
        <v>60</v>
      </c>
      <c r="C29" s="6">
        <v>21982.49</v>
      </c>
      <c r="D29" s="6">
        <v>73544.800000000003</v>
      </c>
      <c r="E29" s="6">
        <f t="shared" si="2"/>
        <v>95527.290000000008</v>
      </c>
      <c r="F29" s="6">
        <v>60457.34</v>
      </c>
      <c r="G29" s="6">
        <v>21012.799999999999</v>
      </c>
      <c r="H29" s="6">
        <v>0</v>
      </c>
      <c r="I29" s="6">
        <v>44606.66</v>
      </c>
      <c r="J29" s="6">
        <v>0</v>
      </c>
      <c r="K29" s="6">
        <v>0</v>
      </c>
      <c r="L29" s="6"/>
      <c r="M29" s="6"/>
      <c r="N29" s="6">
        <f t="shared" si="6"/>
        <v>84051.199999999997</v>
      </c>
      <c r="O29" s="6">
        <f t="shared" si="7"/>
        <v>11476.090000000011</v>
      </c>
      <c r="Q29" s="6">
        <f t="shared" si="8"/>
        <v>0</v>
      </c>
      <c r="R29" s="6">
        <f t="shared" si="9"/>
        <v>11476.090000000011</v>
      </c>
      <c r="S29" s="6">
        <f t="shared" si="10"/>
        <v>0</v>
      </c>
      <c r="T29" s="6">
        <f t="shared" si="11"/>
        <v>0</v>
      </c>
    </row>
    <row r="30" spans="1:20" x14ac:dyDescent="0.25">
      <c r="A30" s="5">
        <v>1018</v>
      </c>
      <c r="B30" s="5" t="s">
        <v>61</v>
      </c>
      <c r="C30" s="6">
        <v>7940.64</v>
      </c>
      <c r="D30" s="6">
        <v>14690.64</v>
      </c>
      <c r="E30" s="6">
        <f t="shared" si="2"/>
        <v>22631.279999999999</v>
      </c>
      <c r="F30" s="6">
        <v>21205.46</v>
      </c>
      <c r="G30" s="6">
        <v>1691.98</v>
      </c>
      <c r="H30" s="6">
        <v>0</v>
      </c>
      <c r="I30" s="6">
        <v>114.46000000000004</v>
      </c>
      <c r="J30" s="6">
        <v>0</v>
      </c>
      <c r="K30" s="6">
        <v>0</v>
      </c>
      <c r="L30" s="6"/>
      <c r="M30" s="6"/>
      <c r="N30" s="6">
        <f t="shared" si="6"/>
        <v>19627.939999999999</v>
      </c>
      <c r="O30" s="6">
        <f t="shared" si="7"/>
        <v>3003.34</v>
      </c>
      <c r="Q30" s="6">
        <f t="shared" si="8"/>
        <v>0</v>
      </c>
      <c r="R30" s="6">
        <f t="shared" si="9"/>
        <v>1691.98</v>
      </c>
      <c r="S30" s="6">
        <f t="shared" si="10"/>
        <v>0</v>
      </c>
      <c r="T30" s="6">
        <f t="shared" si="11"/>
        <v>0</v>
      </c>
    </row>
    <row r="31" spans="1:20" x14ac:dyDescent="0.25">
      <c r="A31" s="5">
        <v>1019</v>
      </c>
      <c r="B31" s="5" t="s">
        <v>62</v>
      </c>
      <c r="C31" s="6">
        <v>0</v>
      </c>
      <c r="D31" s="6">
        <v>0</v>
      </c>
      <c r="E31" s="6">
        <f t="shared" si="2"/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/>
      <c r="M31" s="6"/>
      <c r="N31" s="6">
        <f t="shared" si="6"/>
        <v>0</v>
      </c>
      <c r="O31" s="6">
        <f t="shared" si="7"/>
        <v>0</v>
      </c>
      <c r="Q31" s="6">
        <f t="shared" si="8"/>
        <v>0</v>
      </c>
      <c r="R31" s="6">
        <f t="shared" si="9"/>
        <v>0</v>
      </c>
      <c r="S31" s="6">
        <f t="shared" si="10"/>
        <v>0</v>
      </c>
      <c r="T31" s="6">
        <f t="shared" si="11"/>
        <v>0</v>
      </c>
    </row>
    <row r="32" spans="1:20" x14ac:dyDescent="0.25">
      <c r="A32" s="5">
        <v>1020</v>
      </c>
      <c r="B32" s="5" t="s">
        <v>63</v>
      </c>
      <c r="C32" s="6">
        <v>1704.61</v>
      </c>
      <c r="D32" s="6">
        <v>0</v>
      </c>
      <c r="E32" s="6">
        <f t="shared" si="2"/>
        <v>1704.61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/>
      <c r="M32" s="6"/>
      <c r="N32" s="6">
        <f t="shared" si="6"/>
        <v>0</v>
      </c>
      <c r="O32" s="6">
        <f t="shared" si="7"/>
        <v>1704.61</v>
      </c>
      <c r="Q32" s="6">
        <f t="shared" si="8"/>
        <v>0</v>
      </c>
      <c r="R32" s="6">
        <f t="shared" si="9"/>
        <v>0</v>
      </c>
      <c r="S32" s="6">
        <f t="shared" si="10"/>
        <v>0</v>
      </c>
      <c r="T32" s="6">
        <f t="shared" si="11"/>
        <v>0</v>
      </c>
    </row>
    <row r="33" spans="1:20" x14ac:dyDescent="0.25">
      <c r="A33" s="5">
        <v>1021</v>
      </c>
      <c r="B33" s="5" t="s">
        <v>64</v>
      </c>
      <c r="C33" s="6">
        <v>32749.14</v>
      </c>
      <c r="D33" s="6">
        <v>21513.699999999993</v>
      </c>
      <c r="E33" s="6">
        <f t="shared" si="2"/>
        <v>54262.84</v>
      </c>
      <c r="F33" s="6">
        <v>25674.340000000004</v>
      </c>
      <c r="G33" s="6">
        <v>0</v>
      </c>
      <c r="H33" s="6">
        <v>0</v>
      </c>
      <c r="I33" s="6">
        <v>14609.56</v>
      </c>
      <c r="J33" s="6">
        <v>0</v>
      </c>
      <c r="K33" s="6">
        <v>0</v>
      </c>
      <c r="L33" s="6"/>
      <c r="M33" s="6"/>
      <c r="N33" s="6">
        <f t="shared" si="6"/>
        <v>40283.9</v>
      </c>
      <c r="O33" s="6">
        <f t="shared" si="7"/>
        <v>13978.939999999995</v>
      </c>
      <c r="Q33" s="6">
        <f t="shared" si="8"/>
        <v>0</v>
      </c>
      <c r="R33" s="6">
        <f t="shared" si="9"/>
        <v>0</v>
      </c>
      <c r="S33" s="6">
        <f t="shared" si="10"/>
        <v>0</v>
      </c>
      <c r="T33" s="6">
        <f t="shared" si="11"/>
        <v>0</v>
      </c>
    </row>
    <row r="34" spans="1:20" x14ac:dyDescent="0.25">
      <c r="A34" s="5">
        <v>1022</v>
      </c>
      <c r="B34" s="5" t="s">
        <v>65</v>
      </c>
      <c r="C34" s="6">
        <v>126217.72</v>
      </c>
      <c r="D34" s="6">
        <v>245850</v>
      </c>
      <c r="E34" s="6">
        <f t="shared" si="2"/>
        <v>372067.72</v>
      </c>
      <c r="F34" s="6">
        <v>245850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/>
      <c r="M34" s="6"/>
      <c r="N34" s="6">
        <f t="shared" si="6"/>
        <v>245850</v>
      </c>
      <c r="O34" s="6">
        <f t="shared" si="7"/>
        <v>126217.71999999997</v>
      </c>
      <c r="Q34" s="6">
        <f t="shared" si="8"/>
        <v>0</v>
      </c>
      <c r="R34" s="6">
        <f t="shared" si="9"/>
        <v>0</v>
      </c>
      <c r="S34" s="6">
        <f t="shared" si="10"/>
        <v>0</v>
      </c>
      <c r="T34" s="6">
        <f t="shared" si="11"/>
        <v>0</v>
      </c>
    </row>
    <row r="35" spans="1:20" x14ac:dyDescent="0.25">
      <c r="A35" s="5">
        <v>1023</v>
      </c>
      <c r="B35" s="5" t="s">
        <v>66</v>
      </c>
      <c r="C35" s="6">
        <v>0</v>
      </c>
      <c r="D35" s="6">
        <v>0</v>
      </c>
      <c r="E35" s="6">
        <f t="shared" si="2"/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/>
      <c r="M35" s="6"/>
      <c r="N35" s="6">
        <f t="shared" si="6"/>
        <v>0</v>
      </c>
      <c r="O35" s="6">
        <f t="shared" si="7"/>
        <v>0</v>
      </c>
      <c r="Q35" s="6">
        <f t="shared" si="8"/>
        <v>0</v>
      </c>
      <c r="R35" s="6">
        <f t="shared" si="9"/>
        <v>0</v>
      </c>
      <c r="S35" s="6">
        <f t="shared" si="10"/>
        <v>0</v>
      </c>
      <c r="T35" s="6">
        <f t="shared" si="11"/>
        <v>0</v>
      </c>
    </row>
    <row r="36" spans="1:20" x14ac:dyDescent="0.25">
      <c r="A36" s="5">
        <v>1024</v>
      </c>
      <c r="B36" s="5" t="s">
        <v>67</v>
      </c>
      <c r="C36" s="6">
        <v>73916.47</v>
      </c>
      <c r="D36" s="6">
        <v>121875</v>
      </c>
      <c r="E36" s="6">
        <f t="shared" si="2"/>
        <v>195791.47</v>
      </c>
      <c r="F36" s="6">
        <v>0</v>
      </c>
      <c r="G36" s="6">
        <v>0</v>
      </c>
      <c r="H36" s="6">
        <v>0</v>
      </c>
      <c r="I36" s="6">
        <v>192396.71</v>
      </c>
      <c r="J36" s="6">
        <v>0</v>
      </c>
      <c r="K36" s="6">
        <v>0</v>
      </c>
      <c r="L36" s="6"/>
      <c r="M36" s="6"/>
      <c r="N36" s="6">
        <f t="shared" si="6"/>
        <v>192396.71</v>
      </c>
      <c r="O36" s="6">
        <f t="shared" si="7"/>
        <v>3394.7600000000093</v>
      </c>
      <c r="Q36" s="6">
        <f t="shared" si="8"/>
        <v>0</v>
      </c>
      <c r="R36" s="6">
        <f t="shared" si="9"/>
        <v>0</v>
      </c>
      <c r="S36" s="6">
        <f t="shared" si="10"/>
        <v>0</v>
      </c>
      <c r="T36" s="6">
        <f t="shared" si="11"/>
        <v>0</v>
      </c>
    </row>
    <row r="37" spans="1:20" x14ac:dyDescent="0.25">
      <c r="A37" s="5">
        <v>1025</v>
      </c>
      <c r="B37" s="5" t="s">
        <v>68</v>
      </c>
      <c r="C37" s="6">
        <v>0</v>
      </c>
      <c r="D37" s="6">
        <v>0</v>
      </c>
      <c r="E37" s="6">
        <f t="shared" si="2"/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/>
      <c r="M37" s="6"/>
      <c r="N37" s="6">
        <f t="shared" si="6"/>
        <v>0</v>
      </c>
      <c r="O37" s="6">
        <f t="shared" si="7"/>
        <v>0</v>
      </c>
      <c r="Q37" s="6">
        <f t="shared" si="8"/>
        <v>0</v>
      </c>
      <c r="R37" s="6">
        <f t="shared" si="9"/>
        <v>0</v>
      </c>
      <c r="S37" s="6">
        <f t="shared" si="10"/>
        <v>0</v>
      </c>
      <c r="T37" s="6">
        <f t="shared" si="11"/>
        <v>0</v>
      </c>
    </row>
    <row r="38" spans="1:20" x14ac:dyDescent="0.25">
      <c r="A38" s="5">
        <v>1026</v>
      </c>
      <c r="B38" s="5" t="s">
        <v>69</v>
      </c>
      <c r="C38" s="6">
        <v>0</v>
      </c>
      <c r="D38" s="6">
        <v>0</v>
      </c>
      <c r="E38" s="6">
        <f t="shared" si="2"/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/>
      <c r="M38" s="6"/>
      <c r="N38" s="6">
        <f t="shared" si="6"/>
        <v>0</v>
      </c>
      <c r="O38" s="6">
        <f t="shared" si="7"/>
        <v>0</v>
      </c>
      <c r="Q38" s="6">
        <f t="shared" si="8"/>
        <v>0</v>
      </c>
      <c r="R38" s="6">
        <f t="shared" si="9"/>
        <v>0</v>
      </c>
      <c r="S38" s="6">
        <f t="shared" si="10"/>
        <v>0</v>
      </c>
      <c r="T38" s="6">
        <f t="shared" si="11"/>
        <v>0</v>
      </c>
    </row>
    <row r="39" spans="1:20" x14ac:dyDescent="0.25">
      <c r="A39" s="5">
        <v>1027</v>
      </c>
      <c r="B39" s="5" t="s">
        <v>70</v>
      </c>
      <c r="C39" s="6">
        <v>50</v>
      </c>
      <c r="D39" s="6">
        <v>0</v>
      </c>
      <c r="E39" s="6">
        <f t="shared" si="2"/>
        <v>50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/>
      <c r="M39" s="6"/>
      <c r="N39" s="6">
        <f t="shared" si="6"/>
        <v>0</v>
      </c>
      <c r="O39" s="6">
        <f t="shared" si="7"/>
        <v>50</v>
      </c>
      <c r="Q39" s="6">
        <f t="shared" si="8"/>
        <v>0</v>
      </c>
      <c r="R39" s="6">
        <f t="shared" si="9"/>
        <v>0</v>
      </c>
      <c r="S39" s="6">
        <f t="shared" si="10"/>
        <v>0</v>
      </c>
      <c r="T39" s="6">
        <f t="shared" si="11"/>
        <v>0</v>
      </c>
    </row>
    <row r="40" spans="1:20" x14ac:dyDescent="0.25">
      <c r="A40" s="5">
        <v>1029</v>
      </c>
      <c r="B40" s="5" t="s">
        <v>71</v>
      </c>
      <c r="C40" s="6">
        <v>0</v>
      </c>
      <c r="D40" s="6">
        <v>0</v>
      </c>
      <c r="E40" s="6">
        <f t="shared" si="2"/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/>
      <c r="M40" s="6"/>
      <c r="N40" s="6">
        <f t="shared" si="6"/>
        <v>0</v>
      </c>
      <c r="O40" s="6">
        <f t="shared" si="7"/>
        <v>0</v>
      </c>
      <c r="Q40" s="6">
        <f t="shared" si="8"/>
        <v>0</v>
      </c>
      <c r="R40" s="6">
        <f t="shared" si="9"/>
        <v>0</v>
      </c>
      <c r="S40" s="6">
        <f t="shared" si="10"/>
        <v>0</v>
      </c>
      <c r="T40" s="6">
        <f t="shared" si="11"/>
        <v>0</v>
      </c>
    </row>
    <row r="41" spans="1:20" x14ac:dyDescent="0.25">
      <c r="A41" s="5">
        <v>1031</v>
      </c>
      <c r="B41" s="5" t="s">
        <v>72</v>
      </c>
      <c r="C41" s="6">
        <v>4063.69</v>
      </c>
      <c r="D41" s="6">
        <v>14720</v>
      </c>
      <c r="E41" s="6">
        <f t="shared" si="2"/>
        <v>18783.689999999999</v>
      </c>
      <c r="F41" s="6">
        <v>3830.4000000000015</v>
      </c>
      <c r="G41" s="6">
        <v>0</v>
      </c>
      <c r="H41" s="6">
        <v>0</v>
      </c>
      <c r="I41" s="6">
        <v>13253.58</v>
      </c>
      <c r="J41" s="6">
        <v>0</v>
      </c>
      <c r="K41" s="6">
        <v>0</v>
      </c>
      <c r="L41" s="6"/>
      <c r="M41" s="6"/>
      <c r="N41" s="6">
        <f t="shared" si="6"/>
        <v>17083.980000000003</v>
      </c>
      <c r="O41" s="6">
        <f t="shared" si="7"/>
        <v>1699.7099999999955</v>
      </c>
      <c r="Q41" s="6">
        <f t="shared" si="8"/>
        <v>0</v>
      </c>
      <c r="R41" s="6">
        <f t="shared" si="9"/>
        <v>0</v>
      </c>
      <c r="S41" s="6">
        <f t="shared" si="10"/>
        <v>0</v>
      </c>
      <c r="T41" s="6">
        <f t="shared" si="11"/>
        <v>0</v>
      </c>
    </row>
    <row r="42" spans="1:20" x14ac:dyDescent="0.25">
      <c r="A42" s="5">
        <v>1032</v>
      </c>
      <c r="B42" s="5" t="s">
        <v>73</v>
      </c>
      <c r="C42" s="6">
        <v>0</v>
      </c>
      <c r="D42" s="6">
        <v>0</v>
      </c>
      <c r="E42" s="6">
        <f t="shared" si="2"/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/>
      <c r="M42" s="6"/>
      <c r="N42" s="6">
        <f t="shared" si="6"/>
        <v>0</v>
      </c>
      <c r="O42" s="6">
        <f t="shared" si="7"/>
        <v>0</v>
      </c>
      <c r="Q42" s="6">
        <f t="shared" si="8"/>
        <v>0</v>
      </c>
      <c r="R42" s="6">
        <f t="shared" si="9"/>
        <v>0</v>
      </c>
      <c r="S42" s="6">
        <f t="shared" si="10"/>
        <v>0</v>
      </c>
      <c r="T42" s="6">
        <f t="shared" si="11"/>
        <v>0</v>
      </c>
    </row>
    <row r="43" spans="1:20" x14ac:dyDescent="0.25">
      <c r="A43" s="5">
        <v>1033</v>
      </c>
      <c r="B43" s="5" t="s">
        <v>74</v>
      </c>
      <c r="C43" s="6">
        <v>1521.5</v>
      </c>
      <c r="D43" s="6">
        <v>8400</v>
      </c>
      <c r="E43" s="6">
        <f t="shared" si="2"/>
        <v>9921.5</v>
      </c>
      <c r="F43" s="6">
        <v>596.3799999999992</v>
      </c>
      <c r="G43" s="6">
        <v>0</v>
      </c>
      <c r="H43" s="6">
        <v>0</v>
      </c>
      <c r="I43" s="6">
        <v>8245.1200000000008</v>
      </c>
      <c r="J43" s="6">
        <v>0</v>
      </c>
      <c r="K43" s="6">
        <v>0</v>
      </c>
      <c r="L43" s="6"/>
      <c r="M43" s="6"/>
      <c r="N43" s="6">
        <f t="shared" si="6"/>
        <v>8841.5</v>
      </c>
      <c r="O43" s="6">
        <f t="shared" si="7"/>
        <v>1080</v>
      </c>
      <c r="Q43" s="6">
        <f t="shared" si="8"/>
        <v>0</v>
      </c>
      <c r="R43" s="6">
        <f t="shared" si="9"/>
        <v>0</v>
      </c>
      <c r="S43" s="6">
        <f t="shared" si="10"/>
        <v>0</v>
      </c>
      <c r="T43" s="6">
        <f t="shared" si="11"/>
        <v>0</v>
      </c>
    </row>
    <row r="44" spans="1:20" x14ac:dyDescent="0.25">
      <c r="A44" s="5">
        <v>1034</v>
      </c>
      <c r="B44" s="5" t="s">
        <v>75</v>
      </c>
      <c r="C44" s="6">
        <v>0</v>
      </c>
      <c r="D44" s="6">
        <v>0</v>
      </c>
      <c r="E44" s="6">
        <f t="shared" si="2"/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/>
      <c r="M44" s="6"/>
      <c r="N44" s="6">
        <f t="shared" si="6"/>
        <v>0</v>
      </c>
      <c r="O44" s="6">
        <f t="shared" si="7"/>
        <v>0</v>
      </c>
      <c r="Q44" s="6">
        <f t="shared" si="8"/>
        <v>0</v>
      </c>
      <c r="R44" s="6">
        <f t="shared" si="9"/>
        <v>0</v>
      </c>
      <c r="S44" s="6">
        <f t="shared" si="10"/>
        <v>0</v>
      </c>
      <c r="T44" s="6">
        <f t="shared" si="11"/>
        <v>0</v>
      </c>
    </row>
    <row r="45" spans="1:20" x14ac:dyDescent="0.25">
      <c r="A45" s="5">
        <v>1035</v>
      </c>
      <c r="B45" s="5" t="s">
        <v>76</v>
      </c>
      <c r="C45" s="6">
        <v>0</v>
      </c>
      <c r="D45" s="6">
        <v>0</v>
      </c>
      <c r="E45" s="6">
        <f t="shared" si="2"/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/>
      <c r="M45" s="6"/>
      <c r="N45" s="6">
        <f t="shared" si="6"/>
        <v>0</v>
      </c>
      <c r="O45" s="6">
        <f t="shared" si="7"/>
        <v>0</v>
      </c>
      <c r="Q45" s="6">
        <f t="shared" si="8"/>
        <v>0</v>
      </c>
      <c r="R45" s="6">
        <f t="shared" si="9"/>
        <v>0</v>
      </c>
      <c r="S45" s="6">
        <f t="shared" si="10"/>
        <v>0</v>
      </c>
      <c r="T45" s="6">
        <f t="shared" si="11"/>
        <v>0</v>
      </c>
    </row>
    <row r="46" spans="1:20" x14ac:dyDescent="0.25">
      <c r="A46" s="5">
        <v>1036</v>
      </c>
      <c r="B46" s="5" t="s">
        <v>77</v>
      </c>
      <c r="C46" s="6">
        <v>1233.56</v>
      </c>
      <c r="D46" s="6">
        <v>0</v>
      </c>
      <c r="E46" s="6">
        <f t="shared" si="2"/>
        <v>1233.56</v>
      </c>
      <c r="F46" s="6">
        <v>810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/>
      <c r="M46" s="6"/>
      <c r="N46" s="6">
        <f t="shared" si="6"/>
        <v>810</v>
      </c>
      <c r="O46" s="6">
        <f t="shared" si="7"/>
        <v>423.55999999999995</v>
      </c>
      <c r="Q46" s="6">
        <f t="shared" si="8"/>
        <v>0</v>
      </c>
      <c r="R46" s="6">
        <f t="shared" si="9"/>
        <v>0</v>
      </c>
      <c r="S46" s="6">
        <f t="shared" si="10"/>
        <v>0</v>
      </c>
      <c r="T46" s="6">
        <f t="shared" si="11"/>
        <v>0</v>
      </c>
    </row>
    <row r="47" spans="1:20" x14ac:dyDescent="0.25">
      <c r="A47" s="5">
        <v>1037</v>
      </c>
      <c r="B47" s="5" t="s">
        <v>78</v>
      </c>
      <c r="C47" s="6">
        <v>0</v>
      </c>
      <c r="D47" s="6">
        <v>0</v>
      </c>
      <c r="E47" s="6">
        <f t="shared" si="2"/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/>
      <c r="M47" s="6"/>
      <c r="N47" s="6">
        <f t="shared" si="6"/>
        <v>0</v>
      </c>
      <c r="O47" s="6">
        <f t="shared" si="7"/>
        <v>0</v>
      </c>
      <c r="Q47" s="6">
        <f t="shared" si="8"/>
        <v>0</v>
      </c>
      <c r="R47" s="6">
        <f t="shared" si="9"/>
        <v>0</v>
      </c>
      <c r="S47" s="6">
        <f t="shared" si="10"/>
        <v>0</v>
      </c>
      <c r="T47" s="6">
        <f t="shared" si="11"/>
        <v>0</v>
      </c>
    </row>
    <row r="48" spans="1:20" x14ac:dyDescent="0.25">
      <c r="A48" s="5">
        <v>1038</v>
      </c>
      <c r="B48" s="5" t="s">
        <v>79</v>
      </c>
      <c r="C48" s="6">
        <v>25905.72</v>
      </c>
      <c r="D48" s="6">
        <v>10784.689999999999</v>
      </c>
      <c r="E48" s="6">
        <f t="shared" si="2"/>
        <v>36690.410000000003</v>
      </c>
      <c r="F48" s="6">
        <v>13692.01</v>
      </c>
      <c r="G48" s="6">
        <v>0</v>
      </c>
      <c r="H48" s="6">
        <v>0</v>
      </c>
      <c r="I48" s="6">
        <v>575</v>
      </c>
      <c r="J48" s="6">
        <v>0</v>
      </c>
      <c r="K48" s="6">
        <v>0</v>
      </c>
      <c r="L48" s="6"/>
      <c r="M48" s="6"/>
      <c r="N48" s="6">
        <f t="shared" si="6"/>
        <v>14267.01</v>
      </c>
      <c r="O48" s="6">
        <f t="shared" si="7"/>
        <v>22423.4</v>
      </c>
      <c r="Q48" s="6">
        <f t="shared" si="8"/>
        <v>0</v>
      </c>
      <c r="R48" s="6">
        <f t="shared" si="9"/>
        <v>0</v>
      </c>
      <c r="S48" s="6">
        <f t="shared" si="10"/>
        <v>0</v>
      </c>
      <c r="T48" s="6">
        <f t="shared" si="11"/>
        <v>0</v>
      </c>
    </row>
    <row r="49" spans="1:21" x14ac:dyDescent="0.25">
      <c r="A49" s="5">
        <v>1039</v>
      </c>
      <c r="B49" s="5" t="s">
        <v>80</v>
      </c>
      <c r="C49" s="6">
        <v>109835.53</v>
      </c>
      <c r="D49" s="6">
        <v>121777.5</v>
      </c>
      <c r="E49" s="6">
        <f t="shared" si="2"/>
        <v>231613.03</v>
      </c>
      <c r="F49" s="6">
        <v>0</v>
      </c>
      <c r="G49" s="6">
        <v>0</v>
      </c>
      <c r="H49" s="6">
        <v>0</v>
      </c>
      <c r="I49" s="6">
        <v>220722.66999999998</v>
      </c>
      <c r="J49" s="6">
        <v>0</v>
      </c>
      <c r="K49" s="6">
        <v>0</v>
      </c>
      <c r="L49" s="6"/>
      <c r="M49" s="6"/>
      <c r="N49" s="6">
        <f t="shared" si="6"/>
        <v>220722.66999999998</v>
      </c>
      <c r="O49" s="6">
        <f t="shared" si="7"/>
        <v>10890.360000000015</v>
      </c>
      <c r="Q49" s="6">
        <f t="shared" si="8"/>
        <v>0</v>
      </c>
      <c r="R49" s="6">
        <f t="shared" si="9"/>
        <v>0</v>
      </c>
      <c r="S49" s="6">
        <f t="shared" si="10"/>
        <v>0</v>
      </c>
      <c r="T49" s="6">
        <f t="shared" si="11"/>
        <v>0</v>
      </c>
    </row>
    <row r="50" spans="1:21" x14ac:dyDescent="0.25">
      <c r="A50" s="5">
        <v>1040</v>
      </c>
      <c r="B50" s="5" t="s">
        <v>81</v>
      </c>
      <c r="C50" s="6">
        <v>0</v>
      </c>
      <c r="D50" s="6">
        <v>0</v>
      </c>
      <c r="E50" s="6">
        <f t="shared" si="2"/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/>
      <c r="M50" s="6"/>
      <c r="N50" s="6">
        <f t="shared" si="6"/>
        <v>0</v>
      </c>
      <c r="O50" s="6">
        <f t="shared" si="7"/>
        <v>0</v>
      </c>
      <c r="Q50" s="6">
        <f t="shared" si="8"/>
        <v>0</v>
      </c>
      <c r="R50" s="6">
        <f t="shared" si="9"/>
        <v>0</v>
      </c>
      <c r="S50" s="6">
        <f t="shared" si="10"/>
        <v>0</v>
      </c>
      <c r="T50" s="6">
        <f t="shared" si="11"/>
        <v>0</v>
      </c>
    </row>
    <row r="51" spans="1:21" x14ac:dyDescent="0.25">
      <c r="A51" s="5">
        <v>1041</v>
      </c>
      <c r="B51" s="5" t="s">
        <v>82</v>
      </c>
      <c r="C51" s="6">
        <v>0</v>
      </c>
      <c r="D51" s="6">
        <v>0</v>
      </c>
      <c r="E51" s="6">
        <f t="shared" si="2"/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/>
      <c r="M51" s="6"/>
      <c r="N51" s="6">
        <f t="shared" si="6"/>
        <v>0</v>
      </c>
      <c r="O51" s="6">
        <f t="shared" si="7"/>
        <v>0</v>
      </c>
      <c r="Q51" s="6">
        <f t="shared" si="8"/>
        <v>0</v>
      </c>
      <c r="R51" s="6">
        <f t="shared" si="9"/>
        <v>0</v>
      </c>
      <c r="S51" s="6">
        <f t="shared" si="10"/>
        <v>0</v>
      </c>
      <c r="T51" s="6">
        <f t="shared" si="11"/>
        <v>0</v>
      </c>
    </row>
    <row r="52" spans="1:21" x14ac:dyDescent="0.25">
      <c r="A52" s="8">
        <v>1042</v>
      </c>
      <c r="B52" s="5" t="s">
        <v>83</v>
      </c>
      <c r="C52" s="6">
        <v>0</v>
      </c>
      <c r="D52" s="6">
        <v>0</v>
      </c>
      <c r="E52" s="6">
        <f t="shared" ref="E52:E115" si="12">C52+D52</f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/>
      <c r="M52" s="6"/>
      <c r="N52" s="6">
        <f t="shared" ref="N52:N115" si="13">F52-G52+H52+I52+J52+K52+L52+M52</f>
        <v>0</v>
      </c>
      <c r="O52" s="6">
        <f t="shared" ref="O52:O115" si="14">E52-N52</f>
        <v>0</v>
      </c>
      <c r="Q52" s="6">
        <f t="shared" ref="Q52:Q115" si="15">IF(O52&lt;0,IF(O52*-1&lt;F52-G52+H52,O52*-1,F52-G52+H52),0)</f>
        <v>0</v>
      </c>
      <c r="R52" s="6">
        <f t="shared" ref="R52:R115" si="16">IF(AND(O52&gt;0,G52&gt;0),IF(O52&gt;G52,G52,O52),0)</f>
        <v>0</v>
      </c>
      <c r="S52" s="6">
        <f t="shared" ref="S52:S115" si="17">IF(Q52&gt;0,IF(Q52&lt;O52*-1,IF((Q52+O52)*-1&gt;I52,I52,(Q52+O52)*-1),0),0)</f>
        <v>0</v>
      </c>
      <c r="T52" s="6">
        <f t="shared" ref="T52:T115" si="18">IF(O52&lt;0,IF(Q52+S52&lt;O52*-1,Q52+S52+O52,0),0)</f>
        <v>0</v>
      </c>
      <c r="U52" s="1"/>
    </row>
    <row r="53" spans="1:21" x14ac:dyDescent="0.25">
      <c r="A53" s="5">
        <v>1043</v>
      </c>
      <c r="B53" s="5" t="s">
        <v>84</v>
      </c>
      <c r="C53" s="6">
        <v>0</v>
      </c>
      <c r="D53" s="6">
        <v>0</v>
      </c>
      <c r="E53" s="6">
        <f t="shared" si="12"/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/>
      <c r="M53" s="6"/>
      <c r="N53" s="6">
        <f t="shared" si="13"/>
        <v>0</v>
      </c>
      <c r="O53" s="6">
        <f t="shared" si="14"/>
        <v>0</v>
      </c>
      <c r="Q53" s="6">
        <f t="shared" si="15"/>
        <v>0</v>
      </c>
      <c r="R53" s="6">
        <f t="shared" si="16"/>
        <v>0</v>
      </c>
      <c r="S53" s="6">
        <f t="shared" si="17"/>
        <v>0</v>
      </c>
      <c r="T53" s="6">
        <f t="shared" si="18"/>
        <v>0</v>
      </c>
    </row>
    <row r="54" spans="1:21" x14ac:dyDescent="0.25">
      <c r="A54" s="5">
        <v>1044</v>
      </c>
      <c r="B54" s="5" t="s">
        <v>85</v>
      </c>
      <c r="C54" s="6">
        <v>0</v>
      </c>
      <c r="D54" s="6">
        <v>0</v>
      </c>
      <c r="E54" s="6">
        <f t="shared" si="12"/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/>
      <c r="M54" s="6"/>
      <c r="N54" s="6">
        <f t="shared" si="13"/>
        <v>0</v>
      </c>
      <c r="O54" s="6">
        <f t="shared" si="14"/>
        <v>0</v>
      </c>
      <c r="Q54" s="6">
        <f t="shared" si="15"/>
        <v>0</v>
      </c>
      <c r="R54" s="6">
        <f t="shared" si="16"/>
        <v>0</v>
      </c>
      <c r="S54" s="6">
        <f t="shared" si="17"/>
        <v>0</v>
      </c>
      <c r="T54" s="6">
        <f t="shared" si="18"/>
        <v>0</v>
      </c>
    </row>
    <row r="55" spans="1:21" x14ac:dyDescent="0.25">
      <c r="A55" s="5">
        <v>1045</v>
      </c>
      <c r="B55" s="5" t="s">
        <v>86</v>
      </c>
      <c r="C55" s="6">
        <v>0</v>
      </c>
      <c r="D55" s="6">
        <v>0</v>
      </c>
      <c r="E55" s="6">
        <f t="shared" si="12"/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/>
      <c r="M55" s="6"/>
      <c r="N55" s="6">
        <f t="shared" si="13"/>
        <v>0</v>
      </c>
      <c r="O55" s="6">
        <f t="shared" si="14"/>
        <v>0</v>
      </c>
      <c r="Q55" s="6">
        <f t="shared" si="15"/>
        <v>0</v>
      </c>
      <c r="R55" s="6">
        <f t="shared" si="16"/>
        <v>0</v>
      </c>
      <c r="S55" s="6">
        <f t="shared" si="17"/>
        <v>0</v>
      </c>
      <c r="T55" s="6">
        <f t="shared" si="18"/>
        <v>0</v>
      </c>
    </row>
    <row r="56" spans="1:21" x14ac:dyDescent="0.25">
      <c r="A56" s="5">
        <v>1046</v>
      </c>
      <c r="B56" s="5" t="s">
        <v>87</v>
      </c>
      <c r="C56" s="6">
        <v>0</v>
      </c>
      <c r="D56" s="6">
        <v>0</v>
      </c>
      <c r="E56" s="6">
        <f t="shared" si="12"/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/>
      <c r="M56" s="6"/>
      <c r="N56" s="6">
        <f t="shared" si="13"/>
        <v>0</v>
      </c>
      <c r="O56" s="6">
        <f t="shared" si="14"/>
        <v>0</v>
      </c>
      <c r="Q56" s="6">
        <f t="shared" si="15"/>
        <v>0</v>
      </c>
      <c r="R56" s="6">
        <f t="shared" si="16"/>
        <v>0</v>
      </c>
      <c r="S56" s="6">
        <f t="shared" si="17"/>
        <v>0</v>
      </c>
      <c r="T56" s="6">
        <f t="shared" si="18"/>
        <v>0</v>
      </c>
    </row>
    <row r="57" spans="1:21" x14ac:dyDescent="0.25">
      <c r="A57" s="5">
        <v>1047</v>
      </c>
      <c r="B57" s="5" t="s">
        <v>88</v>
      </c>
      <c r="C57" s="6">
        <v>0</v>
      </c>
      <c r="D57" s="6">
        <v>0</v>
      </c>
      <c r="E57" s="6">
        <f t="shared" si="12"/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/>
      <c r="M57" s="6"/>
      <c r="N57" s="6">
        <f t="shared" si="13"/>
        <v>0</v>
      </c>
      <c r="O57" s="6">
        <f t="shared" si="14"/>
        <v>0</v>
      </c>
      <c r="Q57" s="6">
        <f t="shared" si="15"/>
        <v>0</v>
      </c>
      <c r="R57" s="6">
        <f t="shared" si="16"/>
        <v>0</v>
      </c>
      <c r="S57" s="6">
        <f t="shared" si="17"/>
        <v>0</v>
      </c>
      <c r="T57" s="6">
        <f t="shared" si="18"/>
        <v>0</v>
      </c>
    </row>
    <row r="58" spans="1:21" x14ac:dyDescent="0.25">
      <c r="A58" s="5">
        <v>1048</v>
      </c>
      <c r="B58" s="5" t="s">
        <v>89</v>
      </c>
      <c r="C58" s="6">
        <v>0</v>
      </c>
      <c r="D58" s="6">
        <v>0</v>
      </c>
      <c r="E58" s="6">
        <f t="shared" si="12"/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/>
      <c r="M58" s="6"/>
      <c r="N58" s="6">
        <f t="shared" si="13"/>
        <v>0</v>
      </c>
      <c r="O58" s="6">
        <f t="shared" si="14"/>
        <v>0</v>
      </c>
      <c r="Q58" s="6">
        <f t="shared" si="15"/>
        <v>0</v>
      </c>
      <c r="R58" s="6">
        <f t="shared" si="16"/>
        <v>0</v>
      </c>
      <c r="S58" s="6">
        <f t="shared" si="17"/>
        <v>0</v>
      </c>
      <c r="T58" s="6">
        <f t="shared" si="18"/>
        <v>0</v>
      </c>
    </row>
    <row r="59" spans="1:21" x14ac:dyDescent="0.25">
      <c r="A59" s="5">
        <v>1049</v>
      </c>
      <c r="B59" s="5" t="s">
        <v>90</v>
      </c>
      <c r="C59" s="6">
        <v>0</v>
      </c>
      <c r="D59" s="6">
        <v>0</v>
      </c>
      <c r="E59" s="6">
        <f t="shared" si="12"/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/>
      <c r="M59" s="6"/>
      <c r="N59" s="6">
        <f t="shared" si="13"/>
        <v>0</v>
      </c>
      <c r="O59" s="6">
        <f t="shared" si="14"/>
        <v>0</v>
      </c>
      <c r="Q59" s="6">
        <f t="shared" si="15"/>
        <v>0</v>
      </c>
      <c r="R59" s="6">
        <f t="shared" si="16"/>
        <v>0</v>
      </c>
      <c r="S59" s="6">
        <f t="shared" si="17"/>
        <v>0</v>
      </c>
      <c r="T59" s="6">
        <f t="shared" si="18"/>
        <v>0</v>
      </c>
    </row>
    <row r="60" spans="1:21" x14ac:dyDescent="0.25">
      <c r="A60" s="5">
        <v>1050</v>
      </c>
      <c r="B60" s="5" t="s">
        <v>91</v>
      </c>
      <c r="C60" s="6">
        <v>10689.44</v>
      </c>
      <c r="D60" s="6">
        <v>0</v>
      </c>
      <c r="E60" s="6">
        <f t="shared" si="12"/>
        <v>10689.44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/>
      <c r="M60" s="6"/>
      <c r="N60" s="6">
        <f t="shared" si="13"/>
        <v>0</v>
      </c>
      <c r="O60" s="6">
        <f t="shared" si="14"/>
        <v>10689.44</v>
      </c>
      <c r="Q60" s="6">
        <f t="shared" si="15"/>
        <v>0</v>
      </c>
      <c r="R60" s="6">
        <f t="shared" si="16"/>
        <v>0</v>
      </c>
      <c r="S60" s="6">
        <f t="shared" si="17"/>
        <v>0</v>
      </c>
      <c r="T60" s="6">
        <f t="shared" si="18"/>
        <v>0</v>
      </c>
    </row>
    <row r="61" spans="1:21" x14ac:dyDescent="0.25">
      <c r="A61" s="5">
        <v>1051</v>
      </c>
      <c r="B61" s="5" t="s">
        <v>92</v>
      </c>
      <c r="C61" s="6">
        <v>0</v>
      </c>
      <c r="D61" s="6">
        <v>0</v>
      </c>
      <c r="E61" s="6">
        <f t="shared" si="12"/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/>
      <c r="M61" s="6"/>
      <c r="N61" s="6">
        <f t="shared" si="13"/>
        <v>0</v>
      </c>
      <c r="O61" s="6">
        <f t="shared" si="14"/>
        <v>0</v>
      </c>
      <c r="Q61" s="6">
        <f t="shared" si="15"/>
        <v>0</v>
      </c>
      <c r="R61" s="6">
        <f t="shared" si="16"/>
        <v>0</v>
      </c>
      <c r="S61" s="6">
        <f t="shared" si="17"/>
        <v>0</v>
      </c>
      <c r="T61" s="6">
        <f t="shared" si="18"/>
        <v>0</v>
      </c>
    </row>
    <row r="62" spans="1:21" x14ac:dyDescent="0.25">
      <c r="A62" s="5">
        <v>1052</v>
      </c>
      <c r="B62" s="5" t="s">
        <v>93</v>
      </c>
      <c r="C62" s="6">
        <v>0</v>
      </c>
      <c r="D62" s="6">
        <v>0</v>
      </c>
      <c r="E62" s="6">
        <f t="shared" si="12"/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/>
      <c r="M62" s="6"/>
      <c r="N62" s="6">
        <f t="shared" si="13"/>
        <v>0</v>
      </c>
      <c r="O62" s="6">
        <f t="shared" si="14"/>
        <v>0</v>
      </c>
      <c r="Q62" s="6">
        <f t="shared" si="15"/>
        <v>0</v>
      </c>
      <c r="R62" s="6">
        <f t="shared" si="16"/>
        <v>0</v>
      </c>
      <c r="S62" s="6">
        <f t="shared" si="17"/>
        <v>0</v>
      </c>
      <c r="T62" s="6">
        <f t="shared" si="18"/>
        <v>0</v>
      </c>
    </row>
    <row r="63" spans="1:21" x14ac:dyDescent="0.25">
      <c r="A63" s="5">
        <v>1053</v>
      </c>
      <c r="B63" s="5" t="s">
        <v>94</v>
      </c>
      <c r="C63" s="6">
        <v>0</v>
      </c>
      <c r="D63" s="6">
        <v>0</v>
      </c>
      <c r="E63" s="6">
        <f t="shared" si="12"/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/>
      <c r="M63" s="6"/>
      <c r="N63" s="6">
        <f t="shared" si="13"/>
        <v>0</v>
      </c>
      <c r="O63" s="6">
        <f t="shared" si="14"/>
        <v>0</v>
      </c>
      <c r="Q63" s="6">
        <f t="shared" si="15"/>
        <v>0</v>
      </c>
      <c r="R63" s="6">
        <f t="shared" si="16"/>
        <v>0</v>
      </c>
      <c r="S63" s="6">
        <f t="shared" si="17"/>
        <v>0</v>
      </c>
      <c r="T63" s="6">
        <f t="shared" si="18"/>
        <v>0</v>
      </c>
    </row>
    <row r="64" spans="1:21" x14ac:dyDescent="0.25">
      <c r="A64" s="5">
        <v>1054</v>
      </c>
      <c r="B64" s="5" t="s">
        <v>95</v>
      </c>
      <c r="C64" s="6">
        <v>0</v>
      </c>
      <c r="D64" s="6">
        <v>0</v>
      </c>
      <c r="E64" s="6">
        <f t="shared" si="12"/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/>
      <c r="M64" s="6"/>
      <c r="N64" s="6">
        <f t="shared" si="13"/>
        <v>0</v>
      </c>
      <c r="O64" s="6">
        <f t="shared" si="14"/>
        <v>0</v>
      </c>
      <c r="Q64" s="6">
        <f t="shared" si="15"/>
        <v>0</v>
      </c>
      <c r="R64" s="6">
        <f t="shared" si="16"/>
        <v>0</v>
      </c>
      <c r="S64" s="6">
        <f t="shared" si="17"/>
        <v>0</v>
      </c>
      <c r="T64" s="6">
        <f t="shared" si="18"/>
        <v>0</v>
      </c>
    </row>
    <row r="65" spans="1:20" x14ac:dyDescent="0.25">
      <c r="A65" s="5">
        <v>1055</v>
      </c>
      <c r="B65" s="5" t="s">
        <v>96</v>
      </c>
      <c r="C65" s="6">
        <v>0</v>
      </c>
      <c r="D65" s="6">
        <v>0</v>
      </c>
      <c r="E65" s="6">
        <f t="shared" si="12"/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/>
      <c r="M65" s="6"/>
      <c r="N65" s="6">
        <f t="shared" si="13"/>
        <v>0</v>
      </c>
      <c r="O65" s="6">
        <f t="shared" si="14"/>
        <v>0</v>
      </c>
      <c r="Q65" s="6">
        <f t="shared" si="15"/>
        <v>0</v>
      </c>
      <c r="R65" s="6">
        <f t="shared" si="16"/>
        <v>0</v>
      </c>
      <c r="S65" s="6">
        <f t="shared" si="17"/>
        <v>0</v>
      </c>
      <c r="T65" s="6">
        <f t="shared" si="18"/>
        <v>0</v>
      </c>
    </row>
    <row r="66" spans="1:20" x14ac:dyDescent="0.25">
      <c r="A66" s="5">
        <v>1056</v>
      </c>
      <c r="B66" s="5" t="s">
        <v>97</v>
      </c>
      <c r="C66" s="6">
        <v>0</v>
      </c>
      <c r="D66" s="6">
        <v>0</v>
      </c>
      <c r="E66" s="6">
        <f t="shared" si="12"/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/>
      <c r="M66" s="6"/>
      <c r="N66" s="6">
        <f t="shared" si="13"/>
        <v>0</v>
      </c>
      <c r="O66" s="6">
        <f t="shared" si="14"/>
        <v>0</v>
      </c>
      <c r="Q66" s="6">
        <f t="shared" si="15"/>
        <v>0</v>
      </c>
      <c r="R66" s="6">
        <f t="shared" si="16"/>
        <v>0</v>
      </c>
      <c r="S66" s="6">
        <f t="shared" si="17"/>
        <v>0</v>
      </c>
      <c r="T66" s="6">
        <f t="shared" si="18"/>
        <v>0</v>
      </c>
    </row>
    <row r="67" spans="1:20" x14ac:dyDescent="0.25">
      <c r="A67" s="5">
        <v>1057</v>
      </c>
      <c r="B67" s="5" t="s">
        <v>98</v>
      </c>
      <c r="C67" s="6">
        <v>0</v>
      </c>
      <c r="D67" s="6">
        <v>0</v>
      </c>
      <c r="E67" s="6">
        <f t="shared" si="12"/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/>
      <c r="M67" s="6"/>
      <c r="N67" s="6">
        <f t="shared" si="13"/>
        <v>0</v>
      </c>
      <c r="O67" s="6">
        <f t="shared" si="14"/>
        <v>0</v>
      </c>
      <c r="Q67" s="6">
        <f t="shared" si="15"/>
        <v>0</v>
      </c>
      <c r="R67" s="6">
        <f t="shared" si="16"/>
        <v>0</v>
      </c>
      <c r="S67" s="6">
        <f t="shared" si="17"/>
        <v>0</v>
      </c>
      <c r="T67" s="6">
        <f t="shared" si="18"/>
        <v>0</v>
      </c>
    </row>
    <row r="68" spans="1:20" x14ac:dyDescent="0.25">
      <c r="A68" s="5">
        <v>1058</v>
      </c>
      <c r="B68" s="5" t="s">
        <v>99</v>
      </c>
      <c r="C68" s="6">
        <v>0</v>
      </c>
      <c r="D68" s="6">
        <v>0</v>
      </c>
      <c r="E68" s="6">
        <f t="shared" si="12"/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/>
      <c r="M68" s="6"/>
      <c r="N68" s="6">
        <f t="shared" si="13"/>
        <v>0</v>
      </c>
      <c r="O68" s="6">
        <f t="shared" si="14"/>
        <v>0</v>
      </c>
      <c r="Q68" s="6">
        <f t="shared" si="15"/>
        <v>0</v>
      </c>
      <c r="R68" s="6">
        <f t="shared" si="16"/>
        <v>0</v>
      </c>
      <c r="S68" s="6">
        <f t="shared" si="17"/>
        <v>0</v>
      </c>
      <c r="T68" s="6">
        <f t="shared" si="18"/>
        <v>0</v>
      </c>
    </row>
    <row r="69" spans="1:20" x14ac:dyDescent="0.25">
      <c r="A69" s="5">
        <v>1059</v>
      </c>
      <c r="B69" s="5" t="s">
        <v>100</v>
      </c>
      <c r="C69" s="6">
        <v>961</v>
      </c>
      <c r="D69" s="6">
        <v>0</v>
      </c>
      <c r="E69" s="6">
        <f t="shared" si="12"/>
        <v>961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/>
      <c r="M69" s="6"/>
      <c r="N69" s="6">
        <f t="shared" si="13"/>
        <v>0</v>
      </c>
      <c r="O69" s="6">
        <f t="shared" si="14"/>
        <v>961</v>
      </c>
      <c r="Q69" s="6">
        <f t="shared" si="15"/>
        <v>0</v>
      </c>
      <c r="R69" s="6">
        <f t="shared" si="16"/>
        <v>0</v>
      </c>
      <c r="S69" s="6">
        <f t="shared" si="17"/>
        <v>0</v>
      </c>
      <c r="T69" s="6">
        <f t="shared" si="18"/>
        <v>0</v>
      </c>
    </row>
    <row r="70" spans="1:20" x14ac:dyDescent="0.25">
      <c r="A70" s="5">
        <v>1060</v>
      </c>
      <c r="B70" s="5" t="s">
        <v>101</v>
      </c>
      <c r="C70" s="6">
        <v>0</v>
      </c>
      <c r="D70" s="6">
        <v>0</v>
      </c>
      <c r="E70" s="6">
        <f t="shared" si="12"/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/>
      <c r="M70" s="6"/>
      <c r="N70" s="6">
        <f t="shared" si="13"/>
        <v>0</v>
      </c>
      <c r="O70" s="6">
        <f t="shared" si="14"/>
        <v>0</v>
      </c>
      <c r="Q70" s="6">
        <f t="shared" si="15"/>
        <v>0</v>
      </c>
      <c r="R70" s="6">
        <f t="shared" si="16"/>
        <v>0</v>
      </c>
      <c r="S70" s="6">
        <f t="shared" si="17"/>
        <v>0</v>
      </c>
      <c r="T70" s="6">
        <f t="shared" si="18"/>
        <v>0</v>
      </c>
    </row>
    <row r="71" spans="1:20" x14ac:dyDescent="0.25">
      <c r="A71" s="5">
        <v>1061</v>
      </c>
      <c r="B71" s="5" t="s">
        <v>102</v>
      </c>
      <c r="C71" s="6">
        <v>0</v>
      </c>
      <c r="D71" s="6">
        <v>0</v>
      </c>
      <c r="E71" s="6">
        <f t="shared" si="12"/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/>
      <c r="M71" s="6"/>
      <c r="N71" s="6">
        <f t="shared" si="13"/>
        <v>0</v>
      </c>
      <c r="O71" s="6">
        <f t="shared" si="14"/>
        <v>0</v>
      </c>
      <c r="Q71" s="6">
        <f t="shared" si="15"/>
        <v>0</v>
      </c>
      <c r="R71" s="6">
        <f t="shared" si="16"/>
        <v>0</v>
      </c>
      <c r="S71" s="6">
        <f t="shared" si="17"/>
        <v>0</v>
      </c>
      <c r="T71" s="6">
        <f t="shared" si="18"/>
        <v>0</v>
      </c>
    </row>
    <row r="72" spans="1:20" x14ac:dyDescent="0.25">
      <c r="A72" s="5">
        <v>1062</v>
      </c>
      <c r="B72" s="5" t="s">
        <v>103</v>
      </c>
      <c r="C72" s="6">
        <v>0</v>
      </c>
      <c r="D72" s="6">
        <v>0</v>
      </c>
      <c r="E72" s="6">
        <f t="shared" si="12"/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/>
      <c r="M72" s="6"/>
      <c r="N72" s="6">
        <f t="shared" si="13"/>
        <v>0</v>
      </c>
      <c r="O72" s="6">
        <f t="shared" si="14"/>
        <v>0</v>
      </c>
      <c r="Q72" s="6">
        <f t="shared" si="15"/>
        <v>0</v>
      </c>
      <c r="R72" s="6">
        <f t="shared" si="16"/>
        <v>0</v>
      </c>
      <c r="S72" s="6">
        <f t="shared" si="17"/>
        <v>0</v>
      </c>
      <c r="T72" s="6">
        <f t="shared" si="18"/>
        <v>0</v>
      </c>
    </row>
    <row r="73" spans="1:20" x14ac:dyDescent="0.25">
      <c r="A73" s="5">
        <v>1063</v>
      </c>
      <c r="B73" s="5" t="s">
        <v>104</v>
      </c>
      <c r="C73" s="6">
        <v>0</v>
      </c>
      <c r="D73" s="6">
        <v>0</v>
      </c>
      <c r="E73" s="6">
        <f t="shared" si="12"/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/>
      <c r="M73" s="6"/>
      <c r="N73" s="6">
        <f t="shared" si="13"/>
        <v>0</v>
      </c>
      <c r="O73" s="6">
        <f t="shared" si="14"/>
        <v>0</v>
      </c>
      <c r="Q73" s="6">
        <f t="shared" si="15"/>
        <v>0</v>
      </c>
      <c r="R73" s="6">
        <f t="shared" si="16"/>
        <v>0</v>
      </c>
      <c r="S73" s="6">
        <f t="shared" si="17"/>
        <v>0</v>
      </c>
      <c r="T73" s="6">
        <f t="shared" si="18"/>
        <v>0</v>
      </c>
    </row>
    <row r="74" spans="1:20" x14ac:dyDescent="0.25">
      <c r="A74" s="5">
        <v>1064</v>
      </c>
      <c r="B74" s="5" t="s">
        <v>105</v>
      </c>
      <c r="C74" s="6">
        <v>17764.72</v>
      </c>
      <c r="D74" s="6">
        <v>48000</v>
      </c>
      <c r="E74" s="6">
        <f t="shared" si="12"/>
        <v>65764.72</v>
      </c>
      <c r="F74" s="6">
        <v>33592.880000000005</v>
      </c>
      <c r="G74" s="6">
        <v>0</v>
      </c>
      <c r="H74" s="6">
        <v>0</v>
      </c>
      <c r="I74" s="6">
        <v>25338.529999999995</v>
      </c>
      <c r="J74" s="6">
        <v>7900</v>
      </c>
      <c r="K74" s="6">
        <v>0</v>
      </c>
      <c r="L74" s="6"/>
      <c r="M74" s="6"/>
      <c r="N74" s="6">
        <f t="shared" si="13"/>
        <v>66831.41</v>
      </c>
      <c r="O74" s="6">
        <f t="shared" si="14"/>
        <v>-1066.6900000000023</v>
      </c>
      <c r="Q74" s="6">
        <f t="shared" si="15"/>
        <v>1066.6900000000023</v>
      </c>
      <c r="R74" s="6">
        <f t="shared" si="16"/>
        <v>0</v>
      </c>
      <c r="S74" s="6">
        <f t="shared" si="17"/>
        <v>0</v>
      </c>
      <c r="T74" s="6">
        <f t="shared" si="18"/>
        <v>0</v>
      </c>
    </row>
    <row r="75" spans="1:20" x14ac:dyDescent="0.25">
      <c r="A75" s="5">
        <v>1065</v>
      </c>
      <c r="B75" s="5" t="s">
        <v>106</v>
      </c>
      <c r="C75" s="6">
        <v>32339.01</v>
      </c>
      <c r="D75" s="6">
        <v>0</v>
      </c>
      <c r="E75" s="6">
        <f t="shared" si="12"/>
        <v>32339.01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/>
      <c r="M75" s="6"/>
      <c r="N75" s="6">
        <f t="shared" si="13"/>
        <v>0</v>
      </c>
      <c r="O75" s="6">
        <f t="shared" si="14"/>
        <v>32339.01</v>
      </c>
      <c r="Q75" s="6">
        <f t="shared" si="15"/>
        <v>0</v>
      </c>
      <c r="R75" s="6">
        <f t="shared" si="16"/>
        <v>0</v>
      </c>
      <c r="S75" s="6">
        <f t="shared" si="17"/>
        <v>0</v>
      </c>
      <c r="T75" s="6">
        <f t="shared" si="18"/>
        <v>0</v>
      </c>
    </row>
    <row r="76" spans="1:20" x14ac:dyDescent="0.25">
      <c r="A76" s="5">
        <v>1066</v>
      </c>
      <c r="B76" s="5" t="s">
        <v>107</v>
      </c>
      <c r="C76" s="6">
        <v>0</v>
      </c>
      <c r="D76" s="6">
        <v>0</v>
      </c>
      <c r="E76" s="6">
        <f t="shared" si="12"/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/>
      <c r="M76" s="6"/>
      <c r="N76" s="6">
        <f t="shared" si="13"/>
        <v>0</v>
      </c>
      <c r="O76" s="6">
        <f t="shared" si="14"/>
        <v>0</v>
      </c>
      <c r="Q76" s="6">
        <f t="shared" si="15"/>
        <v>0</v>
      </c>
      <c r="R76" s="6">
        <f t="shared" si="16"/>
        <v>0</v>
      </c>
      <c r="S76" s="6">
        <f t="shared" si="17"/>
        <v>0</v>
      </c>
      <c r="T76" s="6">
        <f t="shared" si="18"/>
        <v>0</v>
      </c>
    </row>
    <row r="77" spans="1:20" x14ac:dyDescent="0.25">
      <c r="A77" s="5">
        <v>1067</v>
      </c>
      <c r="B77" s="5" t="s">
        <v>108</v>
      </c>
      <c r="C77" s="6">
        <v>5206.59</v>
      </c>
      <c r="D77" s="6">
        <v>469.14000000000004</v>
      </c>
      <c r="E77" s="6">
        <f t="shared" si="12"/>
        <v>5675.7300000000005</v>
      </c>
      <c r="F77" s="6">
        <v>703.7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/>
      <c r="M77" s="6"/>
      <c r="N77" s="6">
        <f t="shared" si="13"/>
        <v>703.7</v>
      </c>
      <c r="O77" s="6">
        <f t="shared" si="14"/>
        <v>4972.0300000000007</v>
      </c>
      <c r="Q77" s="6">
        <f t="shared" si="15"/>
        <v>0</v>
      </c>
      <c r="R77" s="6">
        <f t="shared" si="16"/>
        <v>0</v>
      </c>
      <c r="S77" s="6">
        <f t="shared" si="17"/>
        <v>0</v>
      </c>
      <c r="T77" s="6">
        <f t="shared" si="18"/>
        <v>0</v>
      </c>
    </row>
    <row r="78" spans="1:20" x14ac:dyDescent="0.25">
      <c r="A78" s="5">
        <v>1068</v>
      </c>
      <c r="B78" s="5" t="s">
        <v>109</v>
      </c>
      <c r="C78" s="6">
        <v>0</v>
      </c>
      <c r="D78" s="6">
        <v>0</v>
      </c>
      <c r="E78" s="6">
        <f t="shared" si="12"/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/>
      <c r="M78" s="6"/>
      <c r="N78" s="6">
        <f t="shared" si="13"/>
        <v>0</v>
      </c>
      <c r="O78" s="6">
        <f t="shared" si="14"/>
        <v>0</v>
      </c>
      <c r="Q78" s="6">
        <f t="shared" si="15"/>
        <v>0</v>
      </c>
      <c r="R78" s="6">
        <f t="shared" si="16"/>
        <v>0</v>
      </c>
      <c r="S78" s="6">
        <f t="shared" si="17"/>
        <v>0</v>
      </c>
      <c r="T78" s="6">
        <f t="shared" si="18"/>
        <v>0</v>
      </c>
    </row>
    <row r="79" spans="1:20" x14ac:dyDescent="0.25">
      <c r="A79" s="5">
        <v>1069</v>
      </c>
      <c r="B79" s="5" t="s">
        <v>110</v>
      </c>
      <c r="C79" s="6">
        <v>0</v>
      </c>
      <c r="D79" s="6">
        <v>0</v>
      </c>
      <c r="E79" s="6">
        <f t="shared" si="12"/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/>
      <c r="M79" s="6"/>
      <c r="N79" s="6">
        <f t="shared" si="13"/>
        <v>0</v>
      </c>
      <c r="O79" s="6">
        <f t="shared" si="14"/>
        <v>0</v>
      </c>
      <c r="Q79" s="6">
        <f t="shared" si="15"/>
        <v>0</v>
      </c>
      <c r="R79" s="6">
        <f t="shared" si="16"/>
        <v>0</v>
      </c>
      <c r="S79" s="6">
        <f t="shared" si="17"/>
        <v>0</v>
      </c>
      <c r="T79" s="6">
        <f t="shared" si="18"/>
        <v>0</v>
      </c>
    </row>
    <row r="80" spans="1:20" x14ac:dyDescent="0.25">
      <c r="A80" s="5">
        <v>1070</v>
      </c>
      <c r="B80" s="5" t="s">
        <v>111</v>
      </c>
      <c r="C80" s="6">
        <v>22586.13</v>
      </c>
      <c r="D80" s="6">
        <v>26352</v>
      </c>
      <c r="E80" s="6">
        <f t="shared" si="12"/>
        <v>48938.130000000005</v>
      </c>
      <c r="F80" s="6">
        <v>32940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/>
      <c r="M80" s="6"/>
      <c r="N80" s="6">
        <f t="shared" si="13"/>
        <v>32940</v>
      </c>
      <c r="O80" s="6">
        <f t="shared" si="14"/>
        <v>15998.130000000005</v>
      </c>
      <c r="Q80" s="6">
        <f t="shared" si="15"/>
        <v>0</v>
      </c>
      <c r="R80" s="6">
        <f t="shared" si="16"/>
        <v>0</v>
      </c>
      <c r="S80" s="6">
        <f t="shared" si="17"/>
        <v>0</v>
      </c>
      <c r="T80" s="6">
        <f t="shared" si="18"/>
        <v>0</v>
      </c>
    </row>
    <row r="81" spans="1:20" x14ac:dyDescent="0.25">
      <c r="A81" s="5">
        <v>1071</v>
      </c>
      <c r="B81" s="5" t="s">
        <v>112</v>
      </c>
      <c r="C81" s="6">
        <v>2342.85</v>
      </c>
      <c r="D81" s="6">
        <v>1120</v>
      </c>
      <c r="E81" s="6">
        <f t="shared" si="12"/>
        <v>3462.85</v>
      </c>
      <c r="F81" s="6">
        <v>289.75</v>
      </c>
      <c r="G81" s="6">
        <v>0</v>
      </c>
      <c r="H81" s="6">
        <v>0</v>
      </c>
      <c r="I81" s="6">
        <v>484.29999999999995</v>
      </c>
      <c r="J81" s="6">
        <v>0</v>
      </c>
      <c r="K81" s="6">
        <v>0</v>
      </c>
      <c r="L81" s="6"/>
      <c r="M81" s="6"/>
      <c r="N81" s="6">
        <f t="shared" si="13"/>
        <v>774.05</v>
      </c>
      <c r="O81" s="6">
        <f t="shared" si="14"/>
        <v>2688.8</v>
      </c>
      <c r="Q81" s="6">
        <f t="shared" si="15"/>
        <v>0</v>
      </c>
      <c r="R81" s="6">
        <f t="shared" si="16"/>
        <v>0</v>
      </c>
      <c r="S81" s="6">
        <f t="shared" si="17"/>
        <v>0</v>
      </c>
      <c r="T81" s="6">
        <f t="shared" si="18"/>
        <v>0</v>
      </c>
    </row>
    <row r="82" spans="1:20" x14ac:dyDescent="0.25">
      <c r="A82" s="5">
        <v>1101</v>
      </c>
      <c r="B82" s="5" t="s">
        <v>113</v>
      </c>
      <c r="C82" s="6">
        <v>0</v>
      </c>
      <c r="D82" s="6">
        <v>0</v>
      </c>
      <c r="E82" s="6">
        <f t="shared" si="12"/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/>
      <c r="M82" s="6"/>
      <c r="N82" s="6">
        <f t="shared" si="13"/>
        <v>0</v>
      </c>
      <c r="O82" s="6">
        <f t="shared" si="14"/>
        <v>0</v>
      </c>
      <c r="Q82" s="6">
        <f t="shared" si="15"/>
        <v>0</v>
      </c>
      <c r="R82" s="6">
        <f t="shared" si="16"/>
        <v>0</v>
      </c>
      <c r="S82" s="6">
        <f t="shared" si="17"/>
        <v>0</v>
      </c>
      <c r="T82" s="6">
        <f t="shared" si="18"/>
        <v>0</v>
      </c>
    </row>
    <row r="83" spans="1:20" x14ac:dyDescent="0.25">
      <c r="A83" s="5">
        <v>1102</v>
      </c>
      <c r="B83" s="5" t="s">
        <v>114</v>
      </c>
      <c r="C83" s="6">
        <v>0</v>
      </c>
      <c r="D83" s="6">
        <v>0</v>
      </c>
      <c r="E83" s="6">
        <f t="shared" si="12"/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/>
      <c r="M83" s="6"/>
      <c r="N83" s="6">
        <f t="shared" si="13"/>
        <v>0</v>
      </c>
      <c r="O83" s="6">
        <f t="shared" si="14"/>
        <v>0</v>
      </c>
      <c r="Q83" s="6">
        <f t="shared" si="15"/>
        <v>0</v>
      </c>
      <c r="R83" s="6">
        <f t="shared" si="16"/>
        <v>0</v>
      </c>
      <c r="S83" s="6">
        <f t="shared" si="17"/>
        <v>0</v>
      </c>
      <c r="T83" s="6">
        <f t="shared" si="18"/>
        <v>0</v>
      </c>
    </row>
    <row r="84" spans="1:20" x14ac:dyDescent="0.25">
      <c r="A84" s="5">
        <v>1103</v>
      </c>
      <c r="B84" s="5" t="s">
        <v>115</v>
      </c>
      <c r="C84" s="6">
        <v>995.39</v>
      </c>
      <c r="D84" s="6">
        <v>56.88</v>
      </c>
      <c r="E84" s="6">
        <f t="shared" si="12"/>
        <v>1052.27</v>
      </c>
      <c r="F84" s="6">
        <v>0</v>
      </c>
      <c r="G84" s="6">
        <v>0</v>
      </c>
      <c r="H84" s="6">
        <v>0</v>
      </c>
      <c r="I84" s="6">
        <v>0</v>
      </c>
      <c r="J84" s="6">
        <v>950</v>
      </c>
      <c r="K84" s="6">
        <v>0</v>
      </c>
      <c r="L84" s="6"/>
      <c r="M84" s="6"/>
      <c r="N84" s="6">
        <f t="shared" si="13"/>
        <v>950</v>
      </c>
      <c r="O84" s="6">
        <f t="shared" si="14"/>
        <v>102.26999999999998</v>
      </c>
      <c r="Q84" s="6">
        <f t="shared" si="15"/>
        <v>0</v>
      </c>
      <c r="R84" s="6">
        <f t="shared" si="16"/>
        <v>0</v>
      </c>
      <c r="S84" s="6">
        <f t="shared" si="17"/>
        <v>0</v>
      </c>
      <c r="T84" s="6">
        <f t="shared" si="18"/>
        <v>0</v>
      </c>
    </row>
    <row r="85" spans="1:20" x14ac:dyDescent="0.25">
      <c r="A85" s="5">
        <v>1104</v>
      </c>
      <c r="B85" s="5" t="s">
        <v>116</v>
      </c>
      <c r="C85" s="6">
        <v>0</v>
      </c>
      <c r="D85" s="6">
        <v>0</v>
      </c>
      <c r="E85" s="6">
        <f t="shared" si="12"/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/>
      <c r="M85" s="6"/>
      <c r="N85" s="6">
        <f t="shared" si="13"/>
        <v>0</v>
      </c>
      <c r="O85" s="6">
        <f t="shared" si="14"/>
        <v>0</v>
      </c>
      <c r="Q85" s="6">
        <f t="shared" si="15"/>
        <v>0</v>
      </c>
      <c r="R85" s="6">
        <f t="shared" si="16"/>
        <v>0</v>
      </c>
      <c r="S85" s="6">
        <f t="shared" si="17"/>
        <v>0</v>
      </c>
      <c r="T85" s="6">
        <f t="shared" si="18"/>
        <v>0</v>
      </c>
    </row>
    <row r="86" spans="1:20" x14ac:dyDescent="0.25">
      <c r="A86" s="5">
        <v>1105</v>
      </c>
      <c r="B86" s="5" t="s">
        <v>117</v>
      </c>
      <c r="C86" s="6">
        <v>0</v>
      </c>
      <c r="D86" s="6">
        <v>0</v>
      </c>
      <c r="E86" s="6">
        <f t="shared" si="12"/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/>
      <c r="M86" s="6"/>
      <c r="N86" s="6">
        <f t="shared" si="13"/>
        <v>0</v>
      </c>
      <c r="O86" s="6">
        <f t="shared" si="14"/>
        <v>0</v>
      </c>
      <c r="Q86" s="6">
        <f t="shared" si="15"/>
        <v>0</v>
      </c>
      <c r="R86" s="6">
        <f t="shared" si="16"/>
        <v>0</v>
      </c>
      <c r="S86" s="6">
        <f t="shared" si="17"/>
        <v>0</v>
      </c>
      <c r="T86" s="6">
        <f t="shared" si="18"/>
        <v>0</v>
      </c>
    </row>
    <row r="87" spans="1:20" x14ac:dyDescent="0.25">
      <c r="A87" s="5">
        <v>1106</v>
      </c>
      <c r="B87" s="5" t="s">
        <v>118</v>
      </c>
      <c r="C87" s="6">
        <v>0</v>
      </c>
      <c r="D87" s="6">
        <v>0</v>
      </c>
      <c r="E87" s="6">
        <f t="shared" si="12"/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/>
      <c r="M87" s="6"/>
      <c r="N87" s="6">
        <f t="shared" si="13"/>
        <v>0</v>
      </c>
      <c r="O87" s="6">
        <f t="shared" si="14"/>
        <v>0</v>
      </c>
      <c r="Q87" s="6">
        <f t="shared" si="15"/>
        <v>0</v>
      </c>
      <c r="R87" s="6">
        <f t="shared" si="16"/>
        <v>0</v>
      </c>
      <c r="S87" s="6">
        <f t="shared" si="17"/>
        <v>0</v>
      </c>
      <c r="T87" s="6">
        <f t="shared" si="18"/>
        <v>0</v>
      </c>
    </row>
    <row r="88" spans="1:20" x14ac:dyDescent="0.25">
      <c r="A88" s="5">
        <v>1107</v>
      </c>
      <c r="B88" s="5" t="s">
        <v>119</v>
      </c>
      <c r="C88" s="6">
        <v>0</v>
      </c>
      <c r="D88" s="6">
        <v>0</v>
      </c>
      <c r="E88" s="6">
        <f t="shared" si="12"/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/>
      <c r="M88" s="6"/>
      <c r="N88" s="6">
        <f t="shared" si="13"/>
        <v>0</v>
      </c>
      <c r="O88" s="6">
        <f t="shared" si="14"/>
        <v>0</v>
      </c>
      <c r="Q88" s="6">
        <f t="shared" si="15"/>
        <v>0</v>
      </c>
      <c r="R88" s="6">
        <f t="shared" si="16"/>
        <v>0</v>
      </c>
      <c r="S88" s="6">
        <f t="shared" si="17"/>
        <v>0</v>
      </c>
      <c r="T88" s="6">
        <f t="shared" si="18"/>
        <v>0</v>
      </c>
    </row>
    <row r="89" spans="1:20" x14ac:dyDescent="0.25">
      <c r="A89" s="5">
        <v>1108</v>
      </c>
      <c r="B89" s="5" t="s">
        <v>120</v>
      </c>
      <c r="C89" s="6">
        <v>0</v>
      </c>
      <c r="D89" s="6">
        <v>0</v>
      </c>
      <c r="E89" s="6">
        <f t="shared" si="12"/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/>
      <c r="M89" s="6"/>
      <c r="N89" s="6">
        <f t="shared" si="13"/>
        <v>0</v>
      </c>
      <c r="O89" s="6">
        <f t="shared" si="14"/>
        <v>0</v>
      </c>
      <c r="Q89" s="6">
        <f t="shared" si="15"/>
        <v>0</v>
      </c>
      <c r="R89" s="6">
        <f t="shared" si="16"/>
        <v>0</v>
      </c>
      <c r="S89" s="6">
        <f t="shared" si="17"/>
        <v>0</v>
      </c>
      <c r="T89" s="6">
        <f t="shared" si="18"/>
        <v>0</v>
      </c>
    </row>
    <row r="90" spans="1:20" x14ac:dyDescent="0.25">
      <c r="A90" s="5">
        <v>1109</v>
      </c>
      <c r="B90" s="5" t="s">
        <v>121</v>
      </c>
      <c r="C90" s="6">
        <v>0</v>
      </c>
      <c r="D90" s="6">
        <v>0</v>
      </c>
      <c r="E90" s="6">
        <f t="shared" si="12"/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/>
      <c r="M90" s="6"/>
      <c r="N90" s="6">
        <f t="shared" si="13"/>
        <v>0</v>
      </c>
      <c r="O90" s="6">
        <f t="shared" si="14"/>
        <v>0</v>
      </c>
      <c r="Q90" s="6">
        <f t="shared" si="15"/>
        <v>0</v>
      </c>
      <c r="R90" s="6">
        <f t="shared" si="16"/>
        <v>0</v>
      </c>
      <c r="S90" s="6">
        <f t="shared" si="17"/>
        <v>0</v>
      </c>
      <c r="T90" s="6">
        <f t="shared" si="18"/>
        <v>0</v>
      </c>
    </row>
    <row r="91" spans="1:20" x14ac:dyDescent="0.25">
      <c r="A91" s="5">
        <v>1110</v>
      </c>
      <c r="B91" s="5" t="s">
        <v>122</v>
      </c>
      <c r="C91" s="6">
        <v>0</v>
      </c>
      <c r="D91" s="6">
        <v>0</v>
      </c>
      <c r="E91" s="6">
        <f t="shared" si="12"/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/>
      <c r="M91" s="6"/>
      <c r="N91" s="6">
        <f t="shared" si="13"/>
        <v>0</v>
      </c>
      <c r="O91" s="6">
        <f t="shared" si="14"/>
        <v>0</v>
      </c>
      <c r="Q91" s="6">
        <f t="shared" si="15"/>
        <v>0</v>
      </c>
      <c r="R91" s="6">
        <f t="shared" si="16"/>
        <v>0</v>
      </c>
      <c r="S91" s="6">
        <f t="shared" si="17"/>
        <v>0</v>
      </c>
      <c r="T91" s="6">
        <f t="shared" si="18"/>
        <v>0</v>
      </c>
    </row>
    <row r="92" spans="1:20" x14ac:dyDescent="0.25">
      <c r="A92" s="5">
        <v>1111</v>
      </c>
      <c r="B92" s="5" t="s">
        <v>123</v>
      </c>
      <c r="C92" s="6">
        <v>0</v>
      </c>
      <c r="D92" s="6">
        <v>0</v>
      </c>
      <c r="E92" s="6">
        <f t="shared" si="12"/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/>
      <c r="M92" s="6"/>
      <c r="N92" s="6">
        <f t="shared" si="13"/>
        <v>0</v>
      </c>
      <c r="O92" s="6">
        <f t="shared" si="14"/>
        <v>0</v>
      </c>
      <c r="Q92" s="6">
        <f t="shared" si="15"/>
        <v>0</v>
      </c>
      <c r="R92" s="6">
        <f t="shared" si="16"/>
        <v>0</v>
      </c>
      <c r="S92" s="6">
        <f t="shared" si="17"/>
        <v>0</v>
      </c>
      <c r="T92" s="6">
        <f t="shared" si="18"/>
        <v>0</v>
      </c>
    </row>
    <row r="93" spans="1:20" x14ac:dyDescent="0.25">
      <c r="A93" s="5">
        <v>1112</v>
      </c>
      <c r="B93" s="5" t="s">
        <v>124</v>
      </c>
      <c r="C93" s="6">
        <v>0</v>
      </c>
      <c r="D93" s="6">
        <v>0</v>
      </c>
      <c r="E93" s="6">
        <f t="shared" si="12"/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/>
      <c r="M93" s="6"/>
      <c r="N93" s="6">
        <f t="shared" si="13"/>
        <v>0</v>
      </c>
      <c r="O93" s="6">
        <f t="shared" si="14"/>
        <v>0</v>
      </c>
      <c r="Q93" s="6">
        <f t="shared" si="15"/>
        <v>0</v>
      </c>
      <c r="R93" s="6">
        <f t="shared" si="16"/>
        <v>0</v>
      </c>
      <c r="S93" s="6">
        <f t="shared" si="17"/>
        <v>0</v>
      </c>
      <c r="T93" s="6">
        <f t="shared" si="18"/>
        <v>0</v>
      </c>
    </row>
    <row r="94" spans="1:20" x14ac:dyDescent="0.25">
      <c r="A94" s="5">
        <v>1113</v>
      </c>
      <c r="B94" s="5" t="s">
        <v>125</v>
      </c>
      <c r="C94" s="6">
        <v>0</v>
      </c>
      <c r="D94" s="6">
        <v>0</v>
      </c>
      <c r="E94" s="6">
        <f t="shared" si="12"/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/>
      <c r="M94" s="6"/>
      <c r="N94" s="6">
        <f t="shared" si="13"/>
        <v>0</v>
      </c>
      <c r="O94" s="6">
        <f t="shared" si="14"/>
        <v>0</v>
      </c>
      <c r="Q94" s="6">
        <f t="shared" si="15"/>
        <v>0</v>
      </c>
      <c r="R94" s="6">
        <f t="shared" si="16"/>
        <v>0</v>
      </c>
      <c r="S94" s="6">
        <f t="shared" si="17"/>
        <v>0</v>
      </c>
      <c r="T94" s="6">
        <f t="shared" si="18"/>
        <v>0</v>
      </c>
    </row>
    <row r="95" spans="1:20" x14ac:dyDescent="0.25">
      <c r="A95" s="5">
        <v>1114</v>
      </c>
      <c r="B95" s="5" t="s">
        <v>126</v>
      </c>
      <c r="C95" s="6">
        <v>350.58</v>
      </c>
      <c r="D95" s="6">
        <v>0</v>
      </c>
      <c r="E95" s="6">
        <f t="shared" si="12"/>
        <v>350.58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/>
      <c r="M95" s="6"/>
      <c r="N95" s="6">
        <f t="shared" si="13"/>
        <v>0</v>
      </c>
      <c r="O95" s="6">
        <f t="shared" si="14"/>
        <v>350.58</v>
      </c>
      <c r="Q95" s="6">
        <f t="shared" si="15"/>
        <v>0</v>
      </c>
      <c r="R95" s="6">
        <f t="shared" si="16"/>
        <v>0</v>
      </c>
      <c r="S95" s="6">
        <f t="shared" si="17"/>
        <v>0</v>
      </c>
      <c r="T95" s="6">
        <f t="shared" si="18"/>
        <v>0</v>
      </c>
    </row>
    <row r="96" spans="1:20" x14ac:dyDescent="0.25">
      <c r="A96" s="5">
        <v>1115</v>
      </c>
      <c r="B96" s="5" t="s">
        <v>127</v>
      </c>
      <c r="C96" s="6">
        <v>0</v>
      </c>
      <c r="D96" s="6">
        <v>0</v>
      </c>
      <c r="E96" s="6">
        <f t="shared" si="12"/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/>
      <c r="M96" s="6"/>
      <c r="N96" s="6">
        <f t="shared" si="13"/>
        <v>0</v>
      </c>
      <c r="O96" s="6">
        <f t="shared" si="14"/>
        <v>0</v>
      </c>
      <c r="Q96" s="6">
        <f t="shared" si="15"/>
        <v>0</v>
      </c>
      <c r="R96" s="6">
        <f t="shared" si="16"/>
        <v>0</v>
      </c>
      <c r="S96" s="6">
        <f t="shared" si="17"/>
        <v>0</v>
      </c>
      <c r="T96" s="6">
        <f t="shared" si="18"/>
        <v>0</v>
      </c>
    </row>
    <row r="97" spans="1:20" x14ac:dyDescent="0.25">
      <c r="A97" s="5">
        <v>1116</v>
      </c>
      <c r="B97" s="5" t="s">
        <v>128</v>
      </c>
      <c r="C97" s="6">
        <v>0</v>
      </c>
      <c r="D97" s="6">
        <v>0</v>
      </c>
      <c r="E97" s="6">
        <f t="shared" si="12"/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/>
      <c r="M97" s="6"/>
      <c r="N97" s="6">
        <f t="shared" si="13"/>
        <v>0</v>
      </c>
      <c r="O97" s="6">
        <f t="shared" si="14"/>
        <v>0</v>
      </c>
      <c r="Q97" s="6">
        <f t="shared" si="15"/>
        <v>0</v>
      </c>
      <c r="R97" s="6">
        <f t="shared" si="16"/>
        <v>0</v>
      </c>
      <c r="S97" s="6">
        <f t="shared" si="17"/>
        <v>0</v>
      </c>
      <c r="T97" s="6">
        <f t="shared" si="18"/>
        <v>0</v>
      </c>
    </row>
    <row r="98" spans="1:20" x14ac:dyDescent="0.25">
      <c r="A98" s="5">
        <v>1117</v>
      </c>
      <c r="B98" s="5" t="s">
        <v>129</v>
      </c>
      <c r="C98" s="6">
        <v>0</v>
      </c>
      <c r="D98" s="6">
        <v>0</v>
      </c>
      <c r="E98" s="6">
        <f t="shared" si="12"/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/>
      <c r="M98" s="6"/>
      <c r="N98" s="6">
        <f t="shared" si="13"/>
        <v>0</v>
      </c>
      <c r="O98" s="6">
        <f t="shared" si="14"/>
        <v>0</v>
      </c>
      <c r="Q98" s="6">
        <f t="shared" si="15"/>
        <v>0</v>
      </c>
      <c r="R98" s="6">
        <f t="shared" si="16"/>
        <v>0</v>
      </c>
      <c r="S98" s="6">
        <f t="shared" si="17"/>
        <v>0</v>
      </c>
      <c r="T98" s="6">
        <f t="shared" si="18"/>
        <v>0</v>
      </c>
    </row>
    <row r="99" spans="1:20" x14ac:dyDescent="0.25">
      <c r="A99" s="5">
        <v>1118</v>
      </c>
      <c r="B99" s="5" t="s">
        <v>130</v>
      </c>
      <c r="C99" s="6">
        <v>0</v>
      </c>
      <c r="D99" s="6">
        <v>0</v>
      </c>
      <c r="E99" s="6">
        <f t="shared" si="12"/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/>
      <c r="M99" s="6"/>
      <c r="N99" s="6">
        <f t="shared" si="13"/>
        <v>0</v>
      </c>
      <c r="O99" s="6">
        <f t="shared" si="14"/>
        <v>0</v>
      </c>
      <c r="Q99" s="6">
        <f t="shared" si="15"/>
        <v>0</v>
      </c>
      <c r="R99" s="6">
        <f t="shared" si="16"/>
        <v>0</v>
      </c>
      <c r="S99" s="6">
        <f t="shared" si="17"/>
        <v>0</v>
      </c>
      <c r="T99" s="6">
        <f t="shared" si="18"/>
        <v>0</v>
      </c>
    </row>
    <row r="100" spans="1:20" x14ac:dyDescent="0.25">
      <c r="A100" s="5">
        <v>1119</v>
      </c>
      <c r="B100" s="5" t="s">
        <v>131</v>
      </c>
      <c r="C100" s="6">
        <v>0</v>
      </c>
      <c r="D100" s="6">
        <v>0</v>
      </c>
      <c r="E100" s="6">
        <f t="shared" si="12"/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/>
      <c r="M100" s="6"/>
      <c r="N100" s="6">
        <f t="shared" si="13"/>
        <v>0</v>
      </c>
      <c r="O100" s="6">
        <f t="shared" si="14"/>
        <v>0</v>
      </c>
      <c r="Q100" s="6">
        <f t="shared" si="15"/>
        <v>0</v>
      </c>
      <c r="R100" s="6">
        <f t="shared" si="16"/>
        <v>0</v>
      </c>
      <c r="S100" s="6">
        <f t="shared" si="17"/>
        <v>0</v>
      </c>
      <c r="T100" s="6">
        <f t="shared" si="18"/>
        <v>0</v>
      </c>
    </row>
    <row r="101" spans="1:20" x14ac:dyDescent="0.25">
      <c r="A101" s="5">
        <v>1120</v>
      </c>
      <c r="B101" s="5" t="s">
        <v>132</v>
      </c>
      <c r="C101" s="6">
        <v>0</v>
      </c>
      <c r="D101" s="6">
        <v>0</v>
      </c>
      <c r="E101" s="6">
        <f t="shared" si="12"/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/>
      <c r="M101" s="6"/>
      <c r="N101" s="6">
        <f t="shared" si="13"/>
        <v>0</v>
      </c>
      <c r="O101" s="6">
        <f t="shared" si="14"/>
        <v>0</v>
      </c>
      <c r="Q101" s="6">
        <f t="shared" si="15"/>
        <v>0</v>
      </c>
      <c r="R101" s="6">
        <f t="shared" si="16"/>
        <v>0</v>
      </c>
      <c r="S101" s="6">
        <f t="shared" si="17"/>
        <v>0</v>
      </c>
      <c r="T101" s="6">
        <f t="shared" si="18"/>
        <v>0</v>
      </c>
    </row>
    <row r="102" spans="1:20" x14ac:dyDescent="0.25">
      <c r="A102" s="5">
        <v>1200</v>
      </c>
      <c r="B102" s="5" t="s">
        <v>133</v>
      </c>
      <c r="C102" s="6">
        <v>0</v>
      </c>
      <c r="D102" s="6">
        <v>0</v>
      </c>
      <c r="E102" s="6">
        <f t="shared" si="12"/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/>
      <c r="M102" s="6"/>
      <c r="N102" s="6">
        <f t="shared" si="13"/>
        <v>0</v>
      </c>
      <c r="O102" s="6">
        <f t="shared" si="14"/>
        <v>0</v>
      </c>
      <c r="Q102" s="6">
        <f t="shared" si="15"/>
        <v>0</v>
      </c>
      <c r="R102" s="6">
        <f t="shared" si="16"/>
        <v>0</v>
      </c>
      <c r="S102" s="6">
        <f t="shared" si="17"/>
        <v>0</v>
      </c>
      <c r="T102" s="6">
        <f t="shared" si="18"/>
        <v>0</v>
      </c>
    </row>
    <row r="103" spans="1:20" x14ac:dyDescent="0.25">
      <c r="A103" s="5">
        <v>1201</v>
      </c>
      <c r="B103" s="5" t="s">
        <v>134</v>
      </c>
      <c r="C103" s="6">
        <v>0</v>
      </c>
      <c r="D103" s="6">
        <v>0</v>
      </c>
      <c r="E103" s="6">
        <f t="shared" si="12"/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/>
      <c r="M103" s="6"/>
      <c r="N103" s="6">
        <f t="shared" si="13"/>
        <v>0</v>
      </c>
      <c r="O103" s="6">
        <f t="shared" si="14"/>
        <v>0</v>
      </c>
      <c r="Q103" s="6">
        <f t="shared" si="15"/>
        <v>0</v>
      </c>
      <c r="R103" s="6">
        <f t="shared" si="16"/>
        <v>0</v>
      </c>
      <c r="S103" s="6">
        <f t="shared" si="17"/>
        <v>0</v>
      </c>
      <c r="T103" s="6">
        <f t="shared" si="18"/>
        <v>0</v>
      </c>
    </row>
    <row r="104" spans="1:20" x14ac:dyDescent="0.25">
      <c r="A104" s="5">
        <v>4000</v>
      </c>
      <c r="B104" s="5" t="s">
        <v>135</v>
      </c>
      <c r="C104" s="6">
        <v>0</v>
      </c>
      <c r="D104" s="6">
        <v>0</v>
      </c>
      <c r="E104" s="6">
        <f t="shared" si="12"/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/>
      <c r="M104" s="6"/>
      <c r="N104" s="6">
        <f t="shared" si="13"/>
        <v>0</v>
      </c>
      <c r="O104" s="6">
        <f t="shared" si="14"/>
        <v>0</v>
      </c>
      <c r="Q104" s="6">
        <f t="shared" si="15"/>
        <v>0</v>
      </c>
      <c r="R104" s="6">
        <f t="shared" si="16"/>
        <v>0</v>
      </c>
      <c r="S104" s="6">
        <f t="shared" si="17"/>
        <v>0</v>
      </c>
      <c r="T104" s="6">
        <f t="shared" si="18"/>
        <v>0</v>
      </c>
    </row>
    <row r="105" spans="1:20" x14ac:dyDescent="0.25">
      <c r="A105" s="5">
        <v>4002</v>
      </c>
      <c r="B105" s="5" t="s">
        <v>136</v>
      </c>
      <c r="C105" s="6">
        <v>0</v>
      </c>
      <c r="D105" s="6">
        <v>0</v>
      </c>
      <c r="E105" s="6">
        <f t="shared" si="12"/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/>
      <c r="M105" s="6"/>
      <c r="N105" s="6">
        <f t="shared" si="13"/>
        <v>0</v>
      </c>
      <c r="O105" s="6">
        <f t="shared" si="14"/>
        <v>0</v>
      </c>
      <c r="Q105" s="6">
        <f t="shared" si="15"/>
        <v>0</v>
      </c>
      <c r="R105" s="6">
        <f t="shared" si="16"/>
        <v>0</v>
      </c>
      <c r="S105" s="6">
        <f t="shared" si="17"/>
        <v>0</v>
      </c>
      <c r="T105" s="6">
        <f t="shared" si="18"/>
        <v>0</v>
      </c>
    </row>
    <row r="106" spans="1:20" x14ac:dyDescent="0.25">
      <c r="A106" s="5">
        <v>4010</v>
      </c>
      <c r="B106" s="5" t="s">
        <v>137</v>
      </c>
      <c r="C106" s="6">
        <v>0</v>
      </c>
      <c r="D106" s="6">
        <v>0</v>
      </c>
      <c r="E106" s="6">
        <f t="shared" si="12"/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/>
      <c r="M106" s="6"/>
      <c r="N106" s="6">
        <f t="shared" si="13"/>
        <v>0</v>
      </c>
      <c r="O106" s="6">
        <f t="shared" si="14"/>
        <v>0</v>
      </c>
      <c r="Q106" s="6">
        <f t="shared" si="15"/>
        <v>0</v>
      </c>
      <c r="R106" s="6">
        <f t="shared" si="16"/>
        <v>0</v>
      </c>
      <c r="S106" s="6">
        <f t="shared" si="17"/>
        <v>0</v>
      </c>
      <c r="T106" s="6">
        <f t="shared" si="18"/>
        <v>0</v>
      </c>
    </row>
    <row r="107" spans="1:20" x14ac:dyDescent="0.25">
      <c r="A107" s="5">
        <v>4011</v>
      </c>
      <c r="B107" s="5" t="s">
        <v>138</v>
      </c>
      <c r="C107" s="6">
        <v>24920.81</v>
      </c>
      <c r="D107" s="6">
        <v>12485.46</v>
      </c>
      <c r="E107" s="6">
        <f t="shared" si="12"/>
        <v>37406.270000000004</v>
      </c>
      <c r="F107" s="6">
        <v>12115.620000000003</v>
      </c>
      <c r="G107" s="6">
        <v>0</v>
      </c>
      <c r="H107" s="6">
        <v>0</v>
      </c>
      <c r="I107" s="6">
        <v>90</v>
      </c>
      <c r="J107" s="6">
        <v>7715.03</v>
      </c>
      <c r="K107" s="6">
        <v>0</v>
      </c>
      <c r="L107" s="6"/>
      <c r="M107" s="6"/>
      <c r="N107" s="6">
        <f t="shared" si="13"/>
        <v>19920.650000000001</v>
      </c>
      <c r="O107" s="6">
        <f t="shared" si="14"/>
        <v>17485.620000000003</v>
      </c>
      <c r="Q107" s="6">
        <f t="shared" si="15"/>
        <v>0</v>
      </c>
      <c r="R107" s="6">
        <f t="shared" si="16"/>
        <v>0</v>
      </c>
      <c r="S107" s="6">
        <f t="shared" si="17"/>
        <v>0</v>
      </c>
      <c r="T107" s="6">
        <f t="shared" si="18"/>
        <v>0</v>
      </c>
    </row>
    <row r="108" spans="1:20" x14ac:dyDescent="0.25">
      <c r="A108" s="5">
        <v>4030</v>
      </c>
      <c r="B108" s="5" t="s">
        <v>139</v>
      </c>
      <c r="C108" s="6">
        <v>0</v>
      </c>
      <c r="D108" s="6">
        <v>0</v>
      </c>
      <c r="E108" s="6">
        <f t="shared" si="12"/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/>
      <c r="M108" s="6"/>
      <c r="N108" s="6">
        <f t="shared" si="13"/>
        <v>0</v>
      </c>
      <c r="O108" s="6">
        <f t="shared" si="14"/>
        <v>0</v>
      </c>
      <c r="Q108" s="6">
        <f t="shared" si="15"/>
        <v>0</v>
      </c>
      <c r="R108" s="6">
        <f t="shared" si="16"/>
        <v>0</v>
      </c>
      <c r="S108" s="6">
        <f t="shared" si="17"/>
        <v>0</v>
      </c>
      <c r="T108" s="6">
        <f t="shared" si="18"/>
        <v>0</v>
      </c>
    </row>
    <row r="109" spans="1:20" x14ac:dyDescent="0.25">
      <c r="A109" s="5">
        <v>4050</v>
      </c>
      <c r="B109" s="5" t="s">
        <v>140</v>
      </c>
      <c r="C109" s="6">
        <v>6701.59</v>
      </c>
      <c r="D109" s="6">
        <v>10564.960000000001</v>
      </c>
      <c r="E109" s="6">
        <f t="shared" si="12"/>
        <v>17266.550000000003</v>
      </c>
      <c r="F109" s="6">
        <v>6861.9400000000005</v>
      </c>
      <c r="G109" s="6">
        <v>0</v>
      </c>
      <c r="H109" s="6">
        <v>0</v>
      </c>
      <c r="I109" s="6">
        <v>8985.5</v>
      </c>
      <c r="J109" s="6">
        <v>0</v>
      </c>
      <c r="K109" s="6">
        <v>0</v>
      </c>
      <c r="L109" s="6"/>
      <c r="M109" s="6"/>
      <c r="N109" s="6">
        <f t="shared" si="13"/>
        <v>15847.44</v>
      </c>
      <c r="O109" s="6">
        <f t="shared" si="14"/>
        <v>1419.1100000000024</v>
      </c>
      <c r="Q109" s="6">
        <f t="shared" si="15"/>
        <v>0</v>
      </c>
      <c r="R109" s="6">
        <f t="shared" si="16"/>
        <v>0</v>
      </c>
      <c r="S109" s="6">
        <f t="shared" si="17"/>
        <v>0</v>
      </c>
      <c r="T109" s="6">
        <f t="shared" si="18"/>
        <v>0</v>
      </c>
    </row>
    <row r="110" spans="1:20" x14ac:dyDescent="0.25">
      <c r="A110" s="5">
        <v>4051</v>
      </c>
      <c r="B110" s="5" t="s">
        <v>141</v>
      </c>
      <c r="C110" s="6">
        <v>0</v>
      </c>
      <c r="D110" s="6">
        <v>0</v>
      </c>
      <c r="E110" s="6">
        <f t="shared" si="12"/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/>
      <c r="M110" s="6"/>
      <c r="N110" s="6">
        <f t="shared" si="13"/>
        <v>0</v>
      </c>
      <c r="O110" s="6">
        <f t="shared" si="14"/>
        <v>0</v>
      </c>
      <c r="Q110" s="6">
        <f t="shared" si="15"/>
        <v>0</v>
      </c>
      <c r="R110" s="6">
        <f t="shared" si="16"/>
        <v>0</v>
      </c>
      <c r="S110" s="6">
        <f t="shared" si="17"/>
        <v>0</v>
      </c>
      <c r="T110" s="6">
        <f t="shared" si="18"/>
        <v>0</v>
      </c>
    </row>
    <row r="111" spans="1:20" x14ac:dyDescent="0.25">
      <c r="A111" s="5">
        <v>4070</v>
      </c>
      <c r="B111" s="5" t="s">
        <v>142</v>
      </c>
      <c r="C111" s="6">
        <v>0</v>
      </c>
      <c r="D111" s="6">
        <v>0</v>
      </c>
      <c r="E111" s="6">
        <f t="shared" si="12"/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/>
      <c r="M111" s="6"/>
      <c r="N111" s="6">
        <f t="shared" si="13"/>
        <v>0</v>
      </c>
      <c r="O111" s="6">
        <f t="shared" si="14"/>
        <v>0</v>
      </c>
      <c r="Q111" s="6">
        <f t="shared" si="15"/>
        <v>0</v>
      </c>
      <c r="R111" s="6">
        <f t="shared" si="16"/>
        <v>0</v>
      </c>
      <c r="S111" s="6">
        <f t="shared" si="17"/>
        <v>0</v>
      </c>
      <c r="T111" s="6">
        <f t="shared" si="18"/>
        <v>0</v>
      </c>
    </row>
    <row r="112" spans="1:20" x14ac:dyDescent="0.25">
      <c r="A112" s="5">
        <v>4080</v>
      </c>
      <c r="B112" s="5" t="s">
        <v>143</v>
      </c>
      <c r="C112" s="6">
        <v>0</v>
      </c>
      <c r="D112" s="6">
        <v>0</v>
      </c>
      <c r="E112" s="6">
        <f t="shared" si="12"/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/>
      <c r="M112" s="6"/>
      <c r="N112" s="6">
        <f t="shared" si="13"/>
        <v>0</v>
      </c>
      <c r="O112" s="6">
        <f t="shared" si="14"/>
        <v>0</v>
      </c>
      <c r="Q112" s="6">
        <f t="shared" si="15"/>
        <v>0</v>
      </c>
      <c r="R112" s="6">
        <f t="shared" si="16"/>
        <v>0</v>
      </c>
      <c r="S112" s="6">
        <f t="shared" si="17"/>
        <v>0</v>
      </c>
      <c r="T112" s="6">
        <f t="shared" si="18"/>
        <v>0</v>
      </c>
    </row>
    <row r="113" spans="1:20" x14ac:dyDescent="0.25">
      <c r="A113" s="5">
        <v>4090</v>
      </c>
      <c r="B113" s="5" t="s">
        <v>144</v>
      </c>
      <c r="C113" s="6">
        <v>11612.53</v>
      </c>
      <c r="D113" s="6">
        <v>105210</v>
      </c>
      <c r="E113" s="6">
        <f t="shared" si="12"/>
        <v>116822.53</v>
      </c>
      <c r="F113" s="6">
        <v>122256.98999999999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/>
      <c r="M113" s="6"/>
      <c r="N113" s="6">
        <f t="shared" si="13"/>
        <v>122256.98999999999</v>
      </c>
      <c r="O113" s="6">
        <f t="shared" si="14"/>
        <v>-5434.4599999999919</v>
      </c>
      <c r="Q113" s="6">
        <f t="shared" si="15"/>
        <v>5434.4599999999919</v>
      </c>
      <c r="R113" s="6">
        <f t="shared" si="16"/>
        <v>0</v>
      </c>
      <c r="S113" s="6">
        <f t="shared" si="17"/>
        <v>0</v>
      </c>
      <c r="T113" s="6">
        <f t="shared" si="18"/>
        <v>0</v>
      </c>
    </row>
    <row r="114" spans="1:20" x14ac:dyDescent="0.25">
      <c r="A114" s="5">
        <v>4110</v>
      </c>
      <c r="B114" s="5" t="s">
        <v>145</v>
      </c>
      <c r="C114" s="6">
        <v>0</v>
      </c>
      <c r="D114" s="6">
        <v>0</v>
      </c>
      <c r="E114" s="6">
        <f t="shared" si="12"/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/>
      <c r="M114" s="6"/>
      <c r="N114" s="6">
        <f t="shared" si="13"/>
        <v>0</v>
      </c>
      <c r="O114" s="6">
        <f t="shared" si="14"/>
        <v>0</v>
      </c>
      <c r="Q114" s="6">
        <f t="shared" si="15"/>
        <v>0</v>
      </c>
      <c r="R114" s="6">
        <f t="shared" si="16"/>
        <v>0</v>
      </c>
      <c r="S114" s="6">
        <f t="shared" si="17"/>
        <v>0</v>
      </c>
      <c r="T114" s="6">
        <f t="shared" si="18"/>
        <v>0</v>
      </c>
    </row>
    <row r="115" spans="1:20" x14ac:dyDescent="0.25">
      <c r="A115" s="5">
        <v>4111</v>
      </c>
      <c r="B115" s="5" t="s">
        <v>146</v>
      </c>
      <c r="C115" s="6">
        <v>136168.92000000001</v>
      </c>
      <c r="D115" s="6">
        <v>0</v>
      </c>
      <c r="E115" s="6">
        <f t="shared" si="12"/>
        <v>136168.92000000001</v>
      </c>
      <c r="F115" s="6">
        <v>54600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/>
      <c r="M115" s="6"/>
      <c r="N115" s="6">
        <f t="shared" si="13"/>
        <v>54600</v>
      </c>
      <c r="O115" s="6">
        <f t="shared" si="14"/>
        <v>81568.920000000013</v>
      </c>
      <c r="Q115" s="6">
        <f t="shared" si="15"/>
        <v>0</v>
      </c>
      <c r="R115" s="6">
        <f t="shared" si="16"/>
        <v>0</v>
      </c>
      <c r="S115" s="6">
        <f t="shared" si="17"/>
        <v>0</v>
      </c>
      <c r="T115" s="6">
        <f t="shared" si="18"/>
        <v>0</v>
      </c>
    </row>
    <row r="116" spans="1:20" x14ac:dyDescent="0.25">
      <c r="A116" s="5">
        <v>4112</v>
      </c>
      <c r="B116" s="5" t="s">
        <v>147</v>
      </c>
      <c r="C116" s="6">
        <v>0</v>
      </c>
      <c r="D116" s="6">
        <v>0</v>
      </c>
      <c r="E116" s="6">
        <f t="shared" ref="E116:E146" si="19">C116+D116</f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/>
      <c r="M116" s="6"/>
      <c r="N116" s="6">
        <f t="shared" ref="N116:N146" si="20">F116-G116+H116+I116+J116+K116+L116+M116</f>
        <v>0</v>
      </c>
      <c r="O116" s="6">
        <f t="shared" ref="O116:O146" si="21">E116-N116</f>
        <v>0</v>
      </c>
      <c r="Q116" s="6">
        <f t="shared" ref="Q116:Q146" si="22">IF(O116&lt;0,IF(O116*-1&lt;F116-G116+H116,O116*-1,F116-G116+H116),0)</f>
        <v>0</v>
      </c>
      <c r="R116" s="6">
        <f t="shared" ref="R116:R146" si="23">IF(AND(O116&gt;0,G116&gt;0),IF(O116&gt;G116,G116,O116),0)</f>
        <v>0</v>
      </c>
      <c r="S116" s="6">
        <f t="shared" ref="S116:S146" si="24">IF(Q116&gt;0,IF(Q116&lt;O116*-1,IF((Q116+O116)*-1&gt;I116,I116,(Q116+O116)*-1),0),0)</f>
        <v>0</v>
      </c>
      <c r="T116" s="6">
        <f t="shared" ref="T116:T146" si="25">IF(O116&lt;0,IF(Q116+S116&lt;O116*-1,Q116+S116+O116,0),0)</f>
        <v>0</v>
      </c>
    </row>
    <row r="117" spans="1:20" x14ac:dyDescent="0.25">
      <c r="A117" s="5">
        <v>4160</v>
      </c>
      <c r="B117" s="5" t="s">
        <v>148</v>
      </c>
      <c r="C117" s="6">
        <v>0</v>
      </c>
      <c r="D117" s="6">
        <v>16000</v>
      </c>
      <c r="E117" s="6">
        <f t="shared" si="19"/>
        <v>16000</v>
      </c>
      <c r="F117" s="6">
        <v>22000</v>
      </c>
      <c r="G117" s="6">
        <v>4000</v>
      </c>
      <c r="H117" s="6">
        <v>0</v>
      </c>
      <c r="I117" s="6">
        <v>0</v>
      </c>
      <c r="J117" s="6">
        <v>0</v>
      </c>
      <c r="K117" s="6">
        <v>0</v>
      </c>
      <c r="L117" s="6"/>
      <c r="M117" s="6"/>
      <c r="N117" s="6">
        <f t="shared" si="20"/>
        <v>18000</v>
      </c>
      <c r="O117" s="6">
        <f t="shared" si="21"/>
        <v>-2000</v>
      </c>
      <c r="Q117" s="6">
        <f t="shared" si="22"/>
        <v>2000</v>
      </c>
      <c r="R117" s="6">
        <f t="shared" si="23"/>
        <v>0</v>
      </c>
      <c r="S117" s="6">
        <f t="shared" si="24"/>
        <v>0</v>
      </c>
      <c r="T117" s="6">
        <f t="shared" si="25"/>
        <v>0</v>
      </c>
    </row>
    <row r="118" spans="1:20" x14ac:dyDescent="0.25">
      <c r="A118" s="5">
        <v>4190</v>
      </c>
      <c r="B118" s="5" t="s">
        <v>149</v>
      </c>
      <c r="C118" s="6">
        <v>5260.3</v>
      </c>
      <c r="D118" s="6">
        <v>0</v>
      </c>
      <c r="E118" s="6">
        <f t="shared" si="19"/>
        <v>5260.3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/>
      <c r="M118" s="6"/>
      <c r="N118" s="6">
        <f t="shared" si="20"/>
        <v>0</v>
      </c>
      <c r="O118" s="6">
        <f t="shared" si="21"/>
        <v>5260.3</v>
      </c>
      <c r="Q118" s="6">
        <f t="shared" si="22"/>
        <v>0</v>
      </c>
      <c r="R118" s="6">
        <f t="shared" si="23"/>
        <v>0</v>
      </c>
      <c r="S118" s="6">
        <f t="shared" si="24"/>
        <v>0</v>
      </c>
      <c r="T118" s="6">
        <f t="shared" si="25"/>
        <v>0</v>
      </c>
    </row>
    <row r="119" spans="1:20" x14ac:dyDescent="0.25">
      <c r="A119" s="5">
        <v>4230</v>
      </c>
      <c r="B119" s="5" t="s">
        <v>150</v>
      </c>
      <c r="C119" s="6">
        <v>0</v>
      </c>
      <c r="D119" s="6">
        <v>0</v>
      </c>
      <c r="E119" s="6">
        <f t="shared" si="19"/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/>
      <c r="M119" s="6"/>
      <c r="N119" s="6">
        <f t="shared" si="20"/>
        <v>0</v>
      </c>
      <c r="O119" s="6">
        <f t="shared" si="21"/>
        <v>0</v>
      </c>
      <c r="Q119" s="6">
        <f t="shared" si="22"/>
        <v>0</v>
      </c>
      <c r="R119" s="6">
        <f t="shared" si="23"/>
        <v>0</v>
      </c>
      <c r="S119" s="6">
        <f t="shared" si="24"/>
        <v>0</v>
      </c>
      <c r="T119" s="6">
        <f t="shared" si="25"/>
        <v>0</v>
      </c>
    </row>
    <row r="120" spans="1:20" x14ac:dyDescent="0.25">
      <c r="A120" s="5">
        <v>4234</v>
      </c>
      <c r="B120" s="5" t="s">
        <v>151</v>
      </c>
      <c r="C120" s="6">
        <v>0</v>
      </c>
      <c r="D120" s="6">
        <v>0</v>
      </c>
      <c r="E120" s="6">
        <f t="shared" si="19"/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/>
      <c r="M120" s="6"/>
      <c r="N120" s="6">
        <f t="shared" si="20"/>
        <v>0</v>
      </c>
      <c r="O120" s="6">
        <f t="shared" si="21"/>
        <v>0</v>
      </c>
      <c r="Q120" s="6">
        <f t="shared" si="22"/>
        <v>0</v>
      </c>
      <c r="R120" s="6">
        <f t="shared" si="23"/>
        <v>0</v>
      </c>
      <c r="S120" s="6">
        <f t="shared" si="24"/>
        <v>0</v>
      </c>
      <c r="T120" s="6">
        <f t="shared" si="25"/>
        <v>0</v>
      </c>
    </row>
    <row r="121" spans="1:20" x14ac:dyDescent="0.25">
      <c r="A121" s="5">
        <v>4290</v>
      </c>
      <c r="B121" s="5" t="s">
        <v>152</v>
      </c>
      <c r="C121" s="6">
        <v>0</v>
      </c>
      <c r="D121" s="6">
        <v>0</v>
      </c>
      <c r="E121" s="6">
        <f t="shared" si="19"/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/>
      <c r="M121" s="6"/>
      <c r="N121" s="6">
        <f t="shared" si="20"/>
        <v>0</v>
      </c>
      <c r="O121" s="6">
        <f t="shared" si="21"/>
        <v>0</v>
      </c>
      <c r="Q121" s="6">
        <f t="shared" si="22"/>
        <v>0</v>
      </c>
      <c r="R121" s="6">
        <f t="shared" si="23"/>
        <v>0</v>
      </c>
      <c r="S121" s="6">
        <f t="shared" si="24"/>
        <v>0</v>
      </c>
      <c r="T121" s="6">
        <f t="shared" si="25"/>
        <v>0</v>
      </c>
    </row>
    <row r="122" spans="1:20" x14ac:dyDescent="0.25">
      <c r="A122" s="5">
        <v>4292</v>
      </c>
      <c r="B122" s="5" t="s">
        <v>153</v>
      </c>
      <c r="C122" s="6">
        <v>0</v>
      </c>
      <c r="D122" s="6">
        <v>0</v>
      </c>
      <c r="E122" s="6">
        <f t="shared" si="19"/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/>
      <c r="M122" s="6"/>
      <c r="N122" s="6">
        <f t="shared" si="20"/>
        <v>0</v>
      </c>
      <c r="O122" s="6">
        <f t="shared" si="21"/>
        <v>0</v>
      </c>
      <c r="Q122" s="6">
        <f t="shared" si="22"/>
        <v>0</v>
      </c>
      <c r="R122" s="6">
        <f t="shared" si="23"/>
        <v>0</v>
      </c>
      <c r="S122" s="6">
        <f t="shared" si="24"/>
        <v>0</v>
      </c>
      <c r="T122" s="6">
        <f t="shared" si="25"/>
        <v>0</v>
      </c>
    </row>
    <row r="123" spans="1:20" x14ac:dyDescent="0.25">
      <c r="A123" s="5">
        <v>4293</v>
      </c>
      <c r="B123" s="5" t="s">
        <v>154</v>
      </c>
      <c r="C123" s="6">
        <v>0</v>
      </c>
      <c r="D123" s="6">
        <v>0</v>
      </c>
      <c r="E123" s="6">
        <f t="shared" si="19"/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/>
      <c r="M123" s="6"/>
      <c r="N123" s="6">
        <f t="shared" si="20"/>
        <v>0</v>
      </c>
      <c r="O123" s="6">
        <f t="shared" si="21"/>
        <v>0</v>
      </c>
      <c r="Q123" s="6">
        <f t="shared" si="22"/>
        <v>0</v>
      </c>
      <c r="R123" s="6">
        <f t="shared" si="23"/>
        <v>0</v>
      </c>
      <c r="S123" s="6">
        <f t="shared" si="24"/>
        <v>0</v>
      </c>
      <c r="T123" s="6">
        <f t="shared" si="25"/>
        <v>0</v>
      </c>
    </row>
    <row r="124" spans="1:20" x14ac:dyDescent="0.25">
      <c r="A124" s="5">
        <v>4294</v>
      </c>
      <c r="B124" s="5" t="s">
        <v>155</v>
      </c>
      <c r="C124" s="6">
        <v>0</v>
      </c>
      <c r="D124" s="6">
        <v>0</v>
      </c>
      <c r="E124" s="6">
        <f t="shared" si="19"/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/>
      <c r="M124" s="6"/>
      <c r="N124" s="6">
        <f t="shared" si="20"/>
        <v>0</v>
      </c>
      <c r="O124" s="6">
        <f t="shared" si="21"/>
        <v>0</v>
      </c>
      <c r="Q124" s="6">
        <f t="shared" si="22"/>
        <v>0</v>
      </c>
      <c r="R124" s="6">
        <f t="shared" si="23"/>
        <v>0</v>
      </c>
      <c r="S124" s="6">
        <f t="shared" si="24"/>
        <v>0</v>
      </c>
      <c r="T124" s="6">
        <f t="shared" si="25"/>
        <v>0</v>
      </c>
    </row>
    <row r="125" spans="1:20" x14ac:dyDescent="0.25">
      <c r="A125" s="5">
        <v>4303</v>
      </c>
      <c r="B125" s="5" t="s">
        <v>156</v>
      </c>
      <c r="C125" s="6">
        <v>36875.75</v>
      </c>
      <c r="D125" s="6">
        <v>0</v>
      </c>
      <c r="E125" s="6">
        <f t="shared" si="19"/>
        <v>36875.75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/>
      <c r="M125" s="6"/>
      <c r="N125" s="6">
        <f t="shared" si="20"/>
        <v>0</v>
      </c>
      <c r="O125" s="6">
        <f t="shared" si="21"/>
        <v>36875.75</v>
      </c>
      <c r="Q125" s="6">
        <f t="shared" si="22"/>
        <v>0</v>
      </c>
      <c r="R125" s="6">
        <f t="shared" si="23"/>
        <v>0</v>
      </c>
      <c r="S125" s="6">
        <f t="shared" si="24"/>
        <v>0</v>
      </c>
      <c r="T125" s="6">
        <f t="shared" si="25"/>
        <v>0</v>
      </c>
    </row>
    <row r="126" spans="1:20" x14ac:dyDescent="0.25">
      <c r="A126" s="5">
        <v>4500</v>
      </c>
      <c r="B126" s="5" t="s">
        <v>157</v>
      </c>
      <c r="C126" s="6">
        <v>0</v>
      </c>
      <c r="D126" s="6">
        <v>0</v>
      </c>
      <c r="E126" s="6">
        <f t="shared" si="19"/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/>
      <c r="M126" s="6"/>
      <c r="N126" s="6">
        <f t="shared" si="20"/>
        <v>0</v>
      </c>
      <c r="O126" s="6">
        <f t="shared" si="21"/>
        <v>0</v>
      </c>
      <c r="Q126" s="6">
        <f t="shared" si="22"/>
        <v>0</v>
      </c>
      <c r="R126" s="6">
        <f t="shared" si="23"/>
        <v>0</v>
      </c>
      <c r="S126" s="6">
        <f t="shared" si="24"/>
        <v>0</v>
      </c>
      <c r="T126" s="6">
        <f t="shared" si="25"/>
        <v>0</v>
      </c>
    </row>
    <row r="127" spans="1:20" x14ac:dyDescent="0.25">
      <c r="A127" s="5">
        <v>4502</v>
      </c>
      <c r="B127" s="5" t="s">
        <v>158</v>
      </c>
      <c r="C127" s="6">
        <v>0</v>
      </c>
      <c r="D127" s="6">
        <v>0</v>
      </c>
      <c r="E127" s="6">
        <f t="shared" si="19"/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/>
      <c r="M127" s="6"/>
      <c r="N127" s="6">
        <f t="shared" si="20"/>
        <v>0</v>
      </c>
      <c r="O127" s="6">
        <f t="shared" si="21"/>
        <v>0</v>
      </c>
      <c r="Q127" s="6">
        <f t="shared" si="22"/>
        <v>0</v>
      </c>
      <c r="R127" s="6">
        <f t="shared" si="23"/>
        <v>0</v>
      </c>
      <c r="S127" s="6">
        <f t="shared" si="24"/>
        <v>0</v>
      </c>
      <c r="T127" s="6">
        <f t="shared" si="25"/>
        <v>0</v>
      </c>
    </row>
    <row r="128" spans="1:20" x14ac:dyDescent="0.25">
      <c r="A128" s="5">
        <v>4503</v>
      </c>
      <c r="B128" s="5" t="s">
        <v>159</v>
      </c>
      <c r="C128" s="6">
        <v>37739.620000000003</v>
      </c>
      <c r="D128" s="6">
        <v>24528.119999999995</v>
      </c>
      <c r="E128" s="6">
        <f t="shared" si="19"/>
        <v>62267.74</v>
      </c>
      <c r="F128" s="6">
        <v>18771.399999999998</v>
      </c>
      <c r="G128" s="6">
        <v>0</v>
      </c>
      <c r="H128" s="6">
        <v>0</v>
      </c>
      <c r="I128" s="6">
        <v>18020.8</v>
      </c>
      <c r="J128" s="6">
        <v>0</v>
      </c>
      <c r="K128" s="6">
        <v>0</v>
      </c>
      <c r="L128" s="6"/>
      <c r="M128" s="6"/>
      <c r="N128" s="6">
        <f t="shared" si="20"/>
        <v>36792.199999999997</v>
      </c>
      <c r="O128" s="6">
        <f t="shared" si="21"/>
        <v>25475.54</v>
      </c>
      <c r="Q128" s="6">
        <f t="shared" si="22"/>
        <v>0</v>
      </c>
      <c r="R128" s="6">
        <f t="shared" si="23"/>
        <v>0</v>
      </c>
      <c r="S128" s="6">
        <f t="shared" si="24"/>
        <v>0</v>
      </c>
      <c r="T128" s="6">
        <f t="shared" si="25"/>
        <v>0</v>
      </c>
    </row>
    <row r="129" spans="1:20" x14ac:dyDescent="0.25">
      <c r="A129" s="5">
        <v>4510</v>
      </c>
      <c r="B129" s="5" t="s">
        <v>160</v>
      </c>
      <c r="C129" s="6">
        <v>51430.23</v>
      </c>
      <c r="D129" s="6">
        <v>135783.90999999997</v>
      </c>
      <c r="E129" s="6">
        <f t="shared" si="19"/>
        <v>187214.13999999998</v>
      </c>
      <c r="F129" s="6">
        <v>158860.59999999998</v>
      </c>
      <c r="G129" s="6">
        <v>0</v>
      </c>
      <c r="H129" s="6">
        <v>0</v>
      </c>
      <c r="I129" s="6">
        <v>16968.760000000002</v>
      </c>
      <c r="J129" s="6">
        <v>0</v>
      </c>
      <c r="K129" s="6">
        <v>0</v>
      </c>
      <c r="L129" s="6"/>
      <c r="M129" s="6"/>
      <c r="N129" s="6">
        <f t="shared" si="20"/>
        <v>175829.36</v>
      </c>
      <c r="O129" s="6">
        <f t="shared" si="21"/>
        <v>11384.779999999999</v>
      </c>
      <c r="Q129" s="6">
        <f t="shared" si="22"/>
        <v>0</v>
      </c>
      <c r="R129" s="6">
        <f t="shared" si="23"/>
        <v>0</v>
      </c>
      <c r="S129" s="6">
        <f t="shared" si="24"/>
        <v>0</v>
      </c>
      <c r="T129" s="6">
        <f t="shared" si="25"/>
        <v>0</v>
      </c>
    </row>
    <row r="130" spans="1:20" x14ac:dyDescent="0.25">
      <c r="A130" s="5">
        <v>4520</v>
      </c>
      <c r="B130" s="5" t="s">
        <v>161</v>
      </c>
      <c r="C130" s="6">
        <v>0</v>
      </c>
      <c r="D130" s="6">
        <v>257216</v>
      </c>
      <c r="E130" s="6">
        <f t="shared" si="19"/>
        <v>257216</v>
      </c>
      <c r="F130" s="6">
        <v>266572.40000000002</v>
      </c>
      <c r="G130" s="6">
        <v>6990.4</v>
      </c>
      <c r="H130" s="6">
        <v>0</v>
      </c>
      <c r="I130" s="6">
        <v>0</v>
      </c>
      <c r="J130" s="6">
        <v>0</v>
      </c>
      <c r="K130" s="6">
        <v>0</v>
      </c>
      <c r="L130" s="6"/>
      <c r="M130" s="6"/>
      <c r="N130" s="6">
        <f t="shared" si="20"/>
        <v>259582.00000000003</v>
      </c>
      <c r="O130" s="6">
        <f t="shared" si="21"/>
        <v>-2366.0000000000291</v>
      </c>
      <c r="Q130" s="6">
        <f t="shared" si="22"/>
        <v>2366.0000000000291</v>
      </c>
      <c r="R130" s="6">
        <f t="shared" si="23"/>
        <v>0</v>
      </c>
      <c r="S130" s="6">
        <f t="shared" si="24"/>
        <v>0</v>
      </c>
      <c r="T130" s="6">
        <f t="shared" si="25"/>
        <v>0</v>
      </c>
    </row>
    <row r="131" spans="1:20" x14ac:dyDescent="0.25">
      <c r="A131" s="5">
        <v>4530</v>
      </c>
      <c r="B131" s="5" t="s">
        <v>162</v>
      </c>
      <c r="C131" s="6">
        <v>0</v>
      </c>
      <c r="D131" s="6">
        <v>0</v>
      </c>
      <c r="E131" s="6">
        <f t="shared" si="19"/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/>
      <c r="M131" s="6"/>
      <c r="N131" s="6">
        <f t="shared" si="20"/>
        <v>0</v>
      </c>
      <c r="O131" s="6">
        <f t="shared" si="21"/>
        <v>0</v>
      </c>
      <c r="Q131" s="6">
        <f t="shared" si="22"/>
        <v>0</v>
      </c>
      <c r="R131" s="6">
        <f t="shared" si="23"/>
        <v>0</v>
      </c>
      <c r="S131" s="6">
        <f t="shared" si="24"/>
        <v>0</v>
      </c>
      <c r="T131" s="6">
        <f t="shared" si="25"/>
        <v>0</v>
      </c>
    </row>
    <row r="132" spans="1:20" x14ac:dyDescent="0.25">
      <c r="A132" s="5">
        <v>4540</v>
      </c>
      <c r="B132" s="5" t="s">
        <v>163</v>
      </c>
      <c r="C132" s="6">
        <v>0</v>
      </c>
      <c r="D132" s="6">
        <v>0</v>
      </c>
      <c r="E132" s="6">
        <f t="shared" si="19"/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/>
      <c r="M132" s="6"/>
      <c r="N132" s="6">
        <f t="shared" si="20"/>
        <v>0</v>
      </c>
      <c r="O132" s="6">
        <f t="shared" si="21"/>
        <v>0</v>
      </c>
      <c r="Q132" s="6">
        <f t="shared" si="22"/>
        <v>0</v>
      </c>
      <c r="R132" s="6">
        <f t="shared" si="23"/>
        <v>0</v>
      </c>
      <c r="S132" s="6">
        <f t="shared" si="24"/>
        <v>0</v>
      </c>
      <c r="T132" s="6">
        <f t="shared" si="25"/>
        <v>0</v>
      </c>
    </row>
    <row r="133" spans="1:20" x14ac:dyDescent="0.25">
      <c r="A133" s="5">
        <v>4590</v>
      </c>
      <c r="B133" s="5" t="s">
        <v>164</v>
      </c>
      <c r="C133" s="6">
        <v>46673.22</v>
      </c>
      <c r="D133" s="6">
        <v>0</v>
      </c>
      <c r="E133" s="6">
        <f t="shared" si="19"/>
        <v>46673.22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/>
      <c r="M133" s="6"/>
      <c r="N133" s="6">
        <f t="shared" si="20"/>
        <v>0</v>
      </c>
      <c r="O133" s="6">
        <f t="shared" si="21"/>
        <v>46673.22</v>
      </c>
      <c r="Q133" s="6">
        <f t="shared" si="22"/>
        <v>0</v>
      </c>
      <c r="R133" s="6">
        <f t="shared" si="23"/>
        <v>0</v>
      </c>
      <c r="S133" s="6">
        <f t="shared" si="24"/>
        <v>0</v>
      </c>
      <c r="T133" s="6">
        <f t="shared" si="25"/>
        <v>0</v>
      </c>
    </row>
    <row r="134" spans="1:20" x14ac:dyDescent="0.25">
      <c r="A134" s="5">
        <v>4690</v>
      </c>
      <c r="B134" s="5" t="s">
        <v>165</v>
      </c>
      <c r="C134" s="6">
        <v>0</v>
      </c>
      <c r="D134" s="6">
        <v>0</v>
      </c>
      <c r="E134" s="6">
        <f t="shared" si="19"/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/>
      <c r="M134" s="6"/>
      <c r="N134" s="6">
        <f t="shared" si="20"/>
        <v>0</v>
      </c>
      <c r="O134" s="6">
        <f t="shared" si="21"/>
        <v>0</v>
      </c>
      <c r="Q134" s="6">
        <f t="shared" si="22"/>
        <v>0</v>
      </c>
      <c r="R134" s="6">
        <f t="shared" si="23"/>
        <v>0</v>
      </c>
      <c r="S134" s="6">
        <f t="shared" si="24"/>
        <v>0</v>
      </c>
      <c r="T134" s="6">
        <f t="shared" si="25"/>
        <v>0</v>
      </c>
    </row>
    <row r="135" spans="1:20" x14ac:dyDescent="0.25">
      <c r="A135" s="5">
        <v>4710</v>
      </c>
      <c r="B135" s="5" t="s">
        <v>166</v>
      </c>
      <c r="C135" s="6">
        <v>33099.149999999994</v>
      </c>
      <c r="D135" s="6">
        <v>22693.73</v>
      </c>
      <c r="E135" s="6">
        <f t="shared" si="19"/>
        <v>55792.87999999999</v>
      </c>
      <c r="F135" s="6">
        <v>17666.010000000002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/>
      <c r="M135" s="6"/>
      <c r="N135" s="6">
        <f t="shared" si="20"/>
        <v>17666.010000000002</v>
      </c>
      <c r="O135" s="6">
        <f t="shared" si="21"/>
        <v>38126.869999999988</v>
      </c>
      <c r="Q135" s="6">
        <f t="shared" si="22"/>
        <v>0</v>
      </c>
      <c r="R135" s="6">
        <f t="shared" si="23"/>
        <v>0</v>
      </c>
      <c r="S135" s="6">
        <f t="shared" si="24"/>
        <v>0</v>
      </c>
      <c r="T135" s="6">
        <f t="shared" si="25"/>
        <v>0</v>
      </c>
    </row>
    <row r="136" spans="1:20" x14ac:dyDescent="0.25">
      <c r="A136" s="5">
        <v>4720</v>
      </c>
      <c r="B136" s="5" t="s">
        <v>167</v>
      </c>
      <c r="C136" s="6">
        <v>12452.4</v>
      </c>
      <c r="D136" s="6">
        <v>0</v>
      </c>
      <c r="E136" s="6">
        <f t="shared" si="19"/>
        <v>12452.4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/>
      <c r="M136" s="6"/>
      <c r="N136" s="6">
        <f t="shared" si="20"/>
        <v>0</v>
      </c>
      <c r="O136" s="6">
        <f t="shared" si="21"/>
        <v>12452.4</v>
      </c>
      <c r="Q136" s="6">
        <f t="shared" si="22"/>
        <v>0</v>
      </c>
      <c r="R136" s="6">
        <f t="shared" si="23"/>
        <v>0</v>
      </c>
      <c r="S136" s="6">
        <f t="shared" si="24"/>
        <v>0</v>
      </c>
      <c r="T136" s="6">
        <f t="shared" si="25"/>
        <v>0</v>
      </c>
    </row>
    <row r="137" spans="1:20" x14ac:dyDescent="0.25">
      <c r="A137" s="5">
        <v>4730</v>
      </c>
      <c r="B137" s="5" t="s">
        <v>168</v>
      </c>
      <c r="C137" s="6">
        <v>0</v>
      </c>
      <c r="D137" s="6">
        <v>0</v>
      </c>
      <c r="E137" s="6">
        <f t="shared" si="19"/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/>
      <c r="M137" s="6"/>
      <c r="N137" s="6">
        <f t="shared" si="20"/>
        <v>0</v>
      </c>
      <c r="O137" s="6">
        <f t="shared" si="21"/>
        <v>0</v>
      </c>
      <c r="Q137" s="6">
        <f t="shared" si="22"/>
        <v>0</v>
      </c>
      <c r="R137" s="6">
        <f t="shared" si="23"/>
        <v>0</v>
      </c>
      <c r="S137" s="6">
        <f t="shared" si="24"/>
        <v>0</v>
      </c>
      <c r="T137" s="6">
        <f t="shared" si="25"/>
        <v>0</v>
      </c>
    </row>
    <row r="138" spans="1:20" x14ac:dyDescent="0.25">
      <c r="A138" s="5">
        <v>4760</v>
      </c>
      <c r="B138" s="5" t="s">
        <v>169</v>
      </c>
      <c r="C138" s="6">
        <v>20244.55</v>
      </c>
      <c r="D138" s="6">
        <v>918.28000000000009</v>
      </c>
      <c r="E138" s="6">
        <f t="shared" si="19"/>
        <v>21162.829999999998</v>
      </c>
      <c r="F138" s="6">
        <v>1377.4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/>
      <c r="M138" s="6"/>
      <c r="N138" s="6">
        <f t="shared" si="20"/>
        <v>1377.4</v>
      </c>
      <c r="O138" s="6">
        <f t="shared" si="21"/>
        <v>19785.429999999997</v>
      </c>
      <c r="Q138" s="6">
        <f t="shared" si="22"/>
        <v>0</v>
      </c>
      <c r="R138" s="6">
        <f t="shared" si="23"/>
        <v>0</v>
      </c>
      <c r="S138" s="6">
        <f t="shared" si="24"/>
        <v>0</v>
      </c>
      <c r="T138" s="6">
        <f t="shared" si="25"/>
        <v>0</v>
      </c>
    </row>
    <row r="139" spans="1:20" x14ac:dyDescent="0.25">
      <c r="A139" s="5">
        <v>4770</v>
      </c>
      <c r="B139" s="5" t="s">
        <v>170</v>
      </c>
      <c r="C139" s="6">
        <v>0</v>
      </c>
      <c r="D139" s="6">
        <v>0</v>
      </c>
      <c r="E139" s="6">
        <f t="shared" si="19"/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/>
      <c r="M139" s="6"/>
      <c r="N139" s="6">
        <f t="shared" si="20"/>
        <v>0</v>
      </c>
      <c r="O139" s="6">
        <f t="shared" si="21"/>
        <v>0</v>
      </c>
      <c r="Q139" s="6">
        <f t="shared" si="22"/>
        <v>0</v>
      </c>
      <c r="R139" s="6">
        <f t="shared" si="23"/>
        <v>0</v>
      </c>
      <c r="S139" s="6">
        <f t="shared" si="24"/>
        <v>0</v>
      </c>
      <c r="T139" s="6">
        <f t="shared" si="25"/>
        <v>0</v>
      </c>
    </row>
    <row r="140" spans="1:20" x14ac:dyDescent="0.25">
      <c r="A140" s="5">
        <v>4780</v>
      </c>
      <c r="B140" s="5" t="s">
        <v>171</v>
      </c>
      <c r="C140" s="6">
        <v>0</v>
      </c>
      <c r="D140" s="6">
        <v>0</v>
      </c>
      <c r="E140" s="6">
        <f t="shared" si="19"/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/>
      <c r="M140" s="6"/>
      <c r="N140" s="6">
        <f t="shared" si="20"/>
        <v>0</v>
      </c>
      <c r="O140" s="6">
        <f t="shared" si="21"/>
        <v>0</v>
      </c>
      <c r="Q140" s="6">
        <f t="shared" si="22"/>
        <v>0</v>
      </c>
      <c r="R140" s="6">
        <f t="shared" si="23"/>
        <v>0</v>
      </c>
      <c r="S140" s="6">
        <f t="shared" si="24"/>
        <v>0</v>
      </c>
      <c r="T140" s="6">
        <f t="shared" si="25"/>
        <v>0</v>
      </c>
    </row>
    <row r="141" spans="1:20" x14ac:dyDescent="0.25">
      <c r="A141" s="5">
        <v>4931</v>
      </c>
      <c r="B141" s="5" t="s">
        <v>172</v>
      </c>
      <c r="C141" s="6">
        <v>91343.34</v>
      </c>
      <c r="D141" s="6">
        <v>0</v>
      </c>
      <c r="E141" s="6">
        <f t="shared" si="19"/>
        <v>91343.34</v>
      </c>
      <c r="F141" s="6">
        <v>21289.33</v>
      </c>
      <c r="G141" s="6">
        <v>0</v>
      </c>
      <c r="H141" s="6">
        <v>0</v>
      </c>
      <c r="I141" s="6">
        <v>40698</v>
      </c>
      <c r="J141" s="6">
        <v>24226.67</v>
      </c>
      <c r="K141" s="6">
        <v>0</v>
      </c>
      <c r="L141" s="6"/>
      <c r="M141" s="6"/>
      <c r="N141" s="6">
        <f t="shared" si="20"/>
        <v>86214</v>
      </c>
      <c r="O141" s="6">
        <f t="shared" si="21"/>
        <v>5129.3399999999965</v>
      </c>
      <c r="Q141" s="6">
        <f t="shared" si="22"/>
        <v>0</v>
      </c>
      <c r="R141" s="6">
        <f t="shared" si="23"/>
        <v>0</v>
      </c>
      <c r="S141" s="6">
        <f t="shared" si="24"/>
        <v>0</v>
      </c>
      <c r="T141" s="6">
        <f t="shared" si="25"/>
        <v>0</v>
      </c>
    </row>
    <row r="142" spans="1:20" x14ac:dyDescent="0.25">
      <c r="A142" s="5">
        <v>4935</v>
      </c>
      <c r="B142" s="5" t="s">
        <v>173</v>
      </c>
      <c r="C142" s="6">
        <v>2264.87</v>
      </c>
      <c r="D142" s="6">
        <v>66991.63</v>
      </c>
      <c r="E142" s="6">
        <f t="shared" si="19"/>
        <v>69256.5</v>
      </c>
      <c r="F142" s="6">
        <v>0</v>
      </c>
      <c r="G142" s="6">
        <v>0</v>
      </c>
      <c r="H142" s="6">
        <v>0</v>
      </c>
      <c r="I142" s="6">
        <v>66991.929999999993</v>
      </c>
      <c r="J142" s="6">
        <v>0</v>
      </c>
      <c r="K142" s="6">
        <v>0</v>
      </c>
      <c r="L142" s="6"/>
      <c r="M142" s="6"/>
      <c r="N142" s="6">
        <f t="shared" si="20"/>
        <v>66991.929999999993</v>
      </c>
      <c r="O142" s="6">
        <f t="shared" si="21"/>
        <v>2264.570000000007</v>
      </c>
      <c r="Q142" s="6">
        <f t="shared" si="22"/>
        <v>0</v>
      </c>
      <c r="R142" s="6">
        <f t="shared" si="23"/>
        <v>0</v>
      </c>
      <c r="S142" s="6">
        <f t="shared" si="24"/>
        <v>0</v>
      </c>
      <c r="T142" s="6">
        <f t="shared" si="25"/>
        <v>0</v>
      </c>
    </row>
    <row r="143" spans="1:20" x14ac:dyDescent="0.25">
      <c r="A143" s="5">
        <v>4937</v>
      </c>
      <c r="B143" s="5" t="s">
        <v>174</v>
      </c>
      <c r="C143" s="6">
        <v>0</v>
      </c>
      <c r="D143" s="6">
        <v>0</v>
      </c>
      <c r="E143" s="6">
        <f t="shared" si="19"/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/>
      <c r="M143" s="6"/>
      <c r="N143" s="6">
        <f t="shared" si="20"/>
        <v>0</v>
      </c>
      <c r="O143" s="6">
        <f t="shared" si="21"/>
        <v>0</v>
      </c>
      <c r="Q143" s="6">
        <f t="shared" si="22"/>
        <v>0</v>
      </c>
      <c r="R143" s="6">
        <f t="shared" si="23"/>
        <v>0</v>
      </c>
      <c r="S143" s="6">
        <f t="shared" si="24"/>
        <v>0</v>
      </c>
      <c r="T143" s="6">
        <f t="shared" si="25"/>
        <v>0</v>
      </c>
    </row>
    <row r="144" spans="1:20" x14ac:dyDescent="0.25">
      <c r="A144" s="5">
        <v>4990</v>
      </c>
      <c r="B144" s="5" t="s">
        <v>175</v>
      </c>
      <c r="C144" s="6">
        <v>0</v>
      </c>
      <c r="D144" s="6">
        <v>0</v>
      </c>
      <c r="E144" s="6">
        <f t="shared" si="19"/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/>
      <c r="M144" s="6"/>
      <c r="N144" s="6">
        <f t="shared" si="20"/>
        <v>0</v>
      </c>
      <c r="O144" s="6">
        <f t="shared" si="21"/>
        <v>0</v>
      </c>
      <c r="Q144" s="6">
        <f t="shared" si="22"/>
        <v>0</v>
      </c>
      <c r="R144" s="6">
        <f t="shared" si="23"/>
        <v>0</v>
      </c>
      <c r="S144" s="6">
        <f t="shared" si="24"/>
        <v>0</v>
      </c>
      <c r="T144" s="6">
        <f t="shared" si="25"/>
        <v>0</v>
      </c>
    </row>
    <row r="145" spans="1:20" x14ac:dyDescent="0.25">
      <c r="A145" s="5">
        <v>4991</v>
      </c>
      <c r="B145" s="5" t="s">
        <v>176</v>
      </c>
      <c r="C145" s="6">
        <v>0</v>
      </c>
      <c r="D145" s="6">
        <v>0</v>
      </c>
      <c r="E145" s="6">
        <f t="shared" si="19"/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/>
      <c r="M145" s="6"/>
      <c r="N145" s="6">
        <f t="shared" si="20"/>
        <v>0</v>
      </c>
      <c r="O145" s="6">
        <f t="shared" si="21"/>
        <v>0</v>
      </c>
      <c r="Q145" s="6">
        <f t="shared" si="22"/>
        <v>0</v>
      </c>
      <c r="R145" s="6">
        <f t="shared" si="23"/>
        <v>0</v>
      </c>
      <c r="S145" s="6">
        <f t="shared" si="24"/>
        <v>0</v>
      </c>
      <c r="T145" s="6">
        <f t="shared" si="25"/>
        <v>0</v>
      </c>
    </row>
    <row r="146" spans="1:20" x14ac:dyDescent="0.25">
      <c r="A146" s="5">
        <v>4992</v>
      </c>
      <c r="B146" s="5" t="s">
        <v>177</v>
      </c>
      <c r="C146" s="6">
        <v>0</v>
      </c>
      <c r="D146" s="6">
        <v>0</v>
      </c>
      <c r="E146" s="6">
        <f t="shared" si="19"/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/>
      <c r="M146" s="6"/>
      <c r="N146" s="6">
        <f t="shared" si="20"/>
        <v>0</v>
      </c>
      <c r="O146" s="6">
        <f t="shared" si="21"/>
        <v>0</v>
      </c>
      <c r="Q146" s="6">
        <f t="shared" si="22"/>
        <v>0</v>
      </c>
      <c r="R146" s="6">
        <f t="shared" si="23"/>
        <v>0</v>
      </c>
      <c r="S146" s="6">
        <f t="shared" si="24"/>
        <v>0</v>
      </c>
      <c r="T146" s="6">
        <f t="shared" si="25"/>
        <v>0</v>
      </c>
    </row>
    <row r="147" spans="1:20" x14ac:dyDescent="0.25">
      <c r="A147" s="11" t="s">
        <v>35</v>
      </c>
      <c r="B147" s="11"/>
      <c r="C147" s="7">
        <f>SUM(C6:C146)</f>
        <v>2240388.5399999996</v>
      </c>
      <c r="D147" s="7">
        <f t="shared" ref="D147:O147" si="26">SUM(D6:D146)</f>
        <v>11622646.51</v>
      </c>
      <c r="E147" s="7">
        <f t="shared" si="26"/>
        <v>13863035.050000003</v>
      </c>
      <c r="F147" s="7">
        <f t="shared" si="26"/>
        <v>8835246.8300000001</v>
      </c>
      <c r="G147" s="7">
        <f t="shared" si="26"/>
        <v>43268.950000000004</v>
      </c>
      <c r="H147" s="7">
        <f t="shared" si="26"/>
        <v>0</v>
      </c>
      <c r="I147" s="7">
        <f t="shared" si="26"/>
        <v>3050526.3600000017</v>
      </c>
      <c r="J147" s="7">
        <f t="shared" si="26"/>
        <v>317735.44999999966</v>
      </c>
      <c r="K147" s="7">
        <f t="shared" si="26"/>
        <v>9331.0100000000311</v>
      </c>
      <c r="L147" s="7">
        <f t="shared" si="26"/>
        <v>73188.409999999974</v>
      </c>
      <c r="M147" s="7">
        <f t="shared" si="26"/>
        <v>673754.76</v>
      </c>
      <c r="N147" s="7">
        <f t="shared" si="26"/>
        <v>12916513.869999999</v>
      </c>
      <c r="O147" s="7">
        <f t="shared" si="26"/>
        <v>946521.1799999997</v>
      </c>
      <c r="Q147" s="7">
        <f t="shared" ref="Q147" si="27">SUM(Q6:Q146)</f>
        <v>1789586.4000000004</v>
      </c>
      <c r="R147" s="7">
        <f t="shared" ref="R147" si="28">SUM(R6:R146)</f>
        <v>13168.070000000011</v>
      </c>
      <c r="S147" s="7">
        <f t="shared" ref="S147" si="29">SUM(S6:S146)</f>
        <v>0</v>
      </c>
      <c r="T147" s="7">
        <f t="shared" ref="T147" si="30">SUM(T6:T146)</f>
        <v>0</v>
      </c>
    </row>
  </sheetData>
  <mergeCells count="8">
    <mergeCell ref="A3:A5"/>
    <mergeCell ref="A1:T1"/>
    <mergeCell ref="A147:B147"/>
    <mergeCell ref="Q3:T4"/>
    <mergeCell ref="C3:E3"/>
    <mergeCell ref="F3:N3"/>
    <mergeCell ref="O3:O4"/>
    <mergeCell ref="B3:B5"/>
  </mergeCells>
  <pageMargins left="0.23622047244094491" right="0.23622047244094491" top="0.74803149606299213" bottom="0.74803149606299213" header="0.31496062992125984" footer="0.31496062992125984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Avaliação</vt:lpstr>
      <vt:lpstr>Avaliação!Titulos_de_impressao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</dc:creator>
  <cp:lastModifiedBy>Everton</cp:lastModifiedBy>
  <cp:lastPrinted>2016-05-04T17:03:08Z</cp:lastPrinted>
  <dcterms:created xsi:type="dcterms:W3CDTF">2016-03-14T13:05:50Z</dcterms:created>
  <dcterms:modified xsi:type="dcterms:W3CDTF">2016-05-17T19:50:15Z</dcterms:modified>
</cp:coreProperties>
</file>