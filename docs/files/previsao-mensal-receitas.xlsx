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erton\Documents\Prefeitura\2017\Orçamento\"/>
    </mc:Choice>
  </mc:AlternateContent>
  <bookViews>
    <workbookView xWindow="0" yWindow="0" windowWidth="20490" windowHeight="7755"/>
  </bookViews>
  <sheets>
    <sheet name="Receitas" sheetId="2" r:id="rId1"/>
    <sheet name="Arrecadação" sheetId="1" r:id="rId2"/>
    <sheet name="Sazonalidade" sheetId="4" r:id="rId3"/>
    <sheet name="Sazonalidade Média" sheetId="3" r:id="rId4"/>
    <sheet name="Sazonalidade Corrigida" sheetId="9" r:id="rId5"/>
    <sheet name="Previsão Mensal" sheetId="8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8" l="1"/>
  <c r="O2" i="8"/>
  <c r="N3" i="8"/>
  <c r="M3" i="8"/>
  <c r="L3" i="8"/>
  <c r="K3" i="8"/>
  <c r="J3" i="8"/>
  <c r="I3" i="8"/>
  <c r="H3" i="8"/>
  <c r="G3" i="8"/>
  <c r="F3" i="8"/>
  <c r="E3" i="8"/>
  <c r="N2" i="8"/>
  <c r="M2" i="8"/>
  <c r="L2" i="8"/>
  <c r="K2" i="8"/>
  <c r="J2" i="8"/>
  <c r="I2" i="8"/>
  <c r="H2" i="8"/>
  <c r="G2" i="8"/>
  <c r="F2" i="8"/>
  <c r="E2" i="8"/>
  <c r="P3" i="8"/>
  <c r="D3" i="8" s="1"/>
  <c r="D2" i="8"/>
  <c r="O3" i="9"/>
  <c r="N3" i="9"/>
  <c r="M3" i="9"/>
  <c r="L3" i="9"/>
  <c r="K3" i="9"/>
  <c r="J3" i="9"/>
  <c r="I3" i="9"/>
  <c r="H3" i="9"/>
  <c r="G3" i="9"/>
  <c r="F3" i="9"/>
  <c r="E3" i="9"/>
  <c r="O2" i="9"/>
  <c r="N2" i="9"/>
  <c r="M2" i="9"/>
  <c r="L2" i="9"/>
  <c r="K2" i="9"/>
  <c r="J2" i="9"/>
  <c r="I2" i="9"/>
  <c r="H2" i="9"/>
  <c r="G2" i="9"/>
  <c r="F2" i="9"/>
  <c r="E2" i="9"/>
  <c r="D3" i="9"/>
  <c r="D2" i="9"/>
  <c r="P2" i="9" s="1"/>
  <c r="P3" i="3"/>
  <c r="P2" i="3"/>
  <c r="C3" i="9"/>
  <c r="B3" i="9"/>
  <c r="C2" i="9"/>
  <c r="B2" i="9"/>
  <c r="P2" i="8"/>
  <c r="C3" i="8"/>
  <c r="B3" i="8"/>
  <c r="C2" i="8"/>
  <c r="B2" i="8"/>
  <c r="O3" i="3"/>
  <c r="N3" i="3"/>
  <c r="M3" i="3"/>
  <c r="L3" i="3"/>
  <c r="K3" i="3"/>
  <c r="J3" i="3"/>
  <c r="I3" i="3"/>
  <c r="H3" i="3"/>
  <c r="G3" i="3"/>
  <c r="F3" i="3"/>
  <c r="O2" i="3"/>
  <c r="N2" i="3"/>
  <c r="M2" i="3"/>
  <c r="L2" i="3"/>
  <c r="K2" i="3"/>
  <c r="J2" i="3"/>
  <c r="I2" i="3"/>
  <c r="H2" i="3"/>
  <c r="G2" i="3"/>
  <c r="F2" i="3"/>
  <c r="E3" i="3"/>
  <c r="D3" i="3"/>
  <c r="D2" i="3"/>
  <c r="E2" i="3"/>
  <c r="Q7" i="4"/>
  <c r="P7" i="4"/>
  <c r="O7" i="4"/>
  <c r="N7" i="4"/>
  <c r="M7" i="4"/>
  <c r="L7" i="4"/>
  <c r="K7" i="4"/>
  <c r="J7" i="4"/>
  <c r="I7" i="4"/>
  <c r="H7" i="4"/>
  <c r="G7" i="4"/>
  <c r="F7" i="4"/>
  <c r="Q6" i="4"/>
  <c r="P6" i="4"/>
  <c r="O6" i="4"/>
  <c r="N6" i="4"/>
  <c r="M6" i="4"/>
  <c r="L6" i="4"/>
  <c r="K6" i="4"/>
  <c r="J6" i="4"/>
  <c r="I6" i="4"/>
  <c r="H6" i="4"/>
  <c r="G6" i="4"/>
  <c r="F6" i="4"/>
  <c r="Q5" i="4"/>
  <c r="P5" i="4"/>
  <c r="O5" i="4"/>
  <c r="N5" i="4"/>
  <c r="M5" i="4"/>
  <c r="L5" i="4"/>
  <c r="K5" i="4"/>
  <c r="J5" i="4"/>
  <c r="I5" i="4"/>
  <c r="H5" i="4"/>
  <c r="G5" i="4"/>
  <c r="F5" i="4"/>
  <c r="Q4" i="4"/>
  <c r="P4" i="4"/>
  <c r="O4" i="4"/>
  <c r="N4" i="4"/>
  <c r="M4" i="4"/>
  <c r="L4" i="4"/>
  <c r="K4" i="4"/>
  <c r="J4" i="4"/>
  <c r="I4" i="4"/>
  <c r="H4" i="4"/>
  <c r="G4" i="4"/>
  <c r="F4" i="4"/>
  <c r="Q3" i="4"/>
  <c r="P3" i="4"/>
  <c r="O3" i="4"/>
  <c r="N3" i="4"/>
  <c r="M3" i="4"/>
  <c r="L3" i="4"/>
  <c r="K3" i="4"/>
  <c r="J3" i="4"/>
  <c r="I3" i="4"/>
  <c r="H3" i="4"/>
  <c r="G3" i="4"/>
  <c r="F3" i="4"/>
  <c r="Q2" i="4"/>
  <c r="P2" i="4"/>
  <c r="O2" i="4"/>
  <c r="N2" i="4"/>
  <c r="M2" i="4"/>
  <c r="L2" i="4"/>
  <c r="K2" i="4"/>
  <c r="J2" i="4"/>
  <c r="I2" i="4"/>
  <c r="H2" i="4"/>
  <c r="G2" i="4"/>
  <c r="F2" i="4"/>
  <c r="E7" i="4"/>
  <c r="E6" i="4"/>
  <c r="E5" i="4"/>
  <c r="E4" i="4"/>
  <c r="E3" i="4"/>
  <c r="E2" i="4"/>
  <c r="C7" i="4"/>
  <c r="B7" i="4"/>
  <c r="C6" i="4"/>
  <c r="B6" i="4"/>
  <c r="C5" i="4"/>
  <c r="B5" i="4"/>
  <c r="C4" i="4"/>
  <c r="B4" i="4"/>
  <c r="C3" i="4"/>
  <c r="B3" i="4"/>
  <c r="C2" i="4"/>
  <c r="B2" i="4"/>
  <c r="C3" i="3"/>
  <c r="C2" i="3"/>
  <c r="B3" i="3"/>
  <c r="B2" i="3"/>
  <c r="Q7" i="1"/>
  <c r="Q6" i="1"/>
  <c r="Q5" i="1"/>
  <c r="Q4" i="1"/>
  <c r="C7" i="1"/>
  <c r="B7" i="1"/>
  <c r="C6" i="1"/>
  <c r="B6" i="1"/>
  <c r="C5" i="1"/>
  <c r="B5" i="1"/>
  <c r="C4" i="1"/>
  <c r="B4" i="1"/>
  <c r="Q3" i="1"/>
  <c r="C3" i="1"/>
  <c r="B3" i="1"/>
  <c r="Q2" i="1"/>
  <c r="C2" i="1"/>
  <c r="B2" i="1"/>
  <c r="P3" i="9" l="1"/>
</calcChain>
</file>

<file path=xl/sharedStrings.xml><?xml version="1.0" encoding="utf-8"?>
<sst xmlns="http://schemas.openxmlformats.org/spreadsheetml/2006/main" count="108" uniqueCount="22">
  <si>
    <t>Código</t>
  </si>
  <si>
    <t>Receita</t>
  </si>
  <si>
    <t>Fonte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</si>
  <si>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</si>
  <si>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</si>
  <si>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</si>
  <si>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</si>
  <si>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</si>
  <si>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</si>
  <si>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</si>
  <si>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</si>
  <si>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</si>
  <si>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</si>
  <si>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</si>
  <si>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</si>
  <si>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</si>
  <si>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</si>
  <si>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IPTU</t>
  </si>
  <si>
    <t>11130501000000</t>
  </si>
  <si>
    <t>11120200000000</t>
  </si>
  <si>
    <t>ISS</t>
  </si>
  <si>
    <t>Previsto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</si>
</sst>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49" fontId="2" fillId="0" borderId="0" xfId="0" applyNumberFormat="1" applyFont="1"/>
    <xf numFmtId="0" fontId="2" fillId="0" borderId="0" xfId="0" applyFont="1"/>
    <xf numFmtId="10" fontId="2" fillId="0" borderId="0" xfId="1" applyNumberFormat="1" applyFont="1"/>
    <xf numFmtId="49" fontId="2" fillId="2" borderId="0" xfId="0" applyNumberFormat="1" applyFont="1" applyFill="1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15.140625" style="1" bestFit="1" customWidth="1"/>
    <col min="4" max="4" width="14" style="2" bestFit="1" customWidth="1"/>
    <col min="5" max="6" width="10.5703125" style="2" bestFit="1" customWidth="1"/>
  </cols>
  <sheetData>
    <row r="1" spans="1:6" x14ac:dyDescent="0.25">
      <c r="A1" s="9" t="s">
        <v>0</v>
      </c>
      <c r="B1" s="10" t="s">
        <v>1</v>
      </c>
      <c r="C1" s="10" t="s">
        <v>2</v>
      </c>
      <c r="D1" s="10" t="s">
        <v>21</v>
      </c>
      <c r="E1"/>
      <c r="F1"/>
    </row>
    <row r="2" spans="1:6" x14ac:dyDescent="0.25">
      <c r="A2" s="1" t="s">
        <v>19</v>
      </c>
      <c r="B2" t="s">
        <v>17</v>
      </c>
      <c r="C2">
        <v>0</v>
      </c>
      <c r="D2" s="2">
        <v>200000</v>
      </c>
    </row>
    <row r="3" spans="1:6" x14ac:dyDescent="0.25">
      <c r="A3" s="1" t="s">
        <v>18</v>
      </c>
      <c r="B3" t="s">
        <v>20</v>
      </c>
      <c r="C3">
        <v>0</v>
      </c>
      <c r="D3" s="2">
        <v>120000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 activeCell="Q1" sqref="Q1"/>
    </sheetView>
  </sheetViews>
  <sheetFormatPr defaultRowHeight="15" x14ac:dyDescent="0.25"/>
  <cols>
    <col min="1" max="1" width="15.140625" style="1" bestFit="1" customWidth="1"/>
    <col min="4" max="4" width="9.28515625" bestFit="1" customWidth="1"/>
    <col min="5" max="6" width="9.5703125" style="2" bestFit="1" customWidth="1"/>
    <col min="7" max="9" width="9.7109375" style="2" bestFit="1" customWidth="1"/>
    <col min="10" max="10" width="10.7109375" style="2" bestFit="1" customWidth="1"/>
    <col min="11" max="16" width="9.5703125" style="2" bestFit="1" customWidth="1"/>
    <col min="17" max="17" width="10.7109375" style="2" bestFit="1" customWidth="1"/>
  </cols>
  <sheetData>
    <row r="1" spans="1:18" x14ac:dyDescent="0.25">
      <c r="A1" s="6" t="s">
        <v>0</v>
      </c>
      <c r="B1" s="7" t="s">
        <v>1</v>
      </c>
      <c r="C1" s="7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2"/>
    </row>
    <row r="2" spans="1:18" x14ac:dyDescent="0.25">
      <c r="A2" s="1" t="s">
        <v>19</v>
      </c>
      <c r="B2" t="str">
        <f>VLOOKUP($A2,Receitas!$A:$C,2,FALSE)</f>
        <v>IPTU</v>
      </c>
      <c r="C2">
        <f>VLOOKUP($A2,Receitas!$A:$C,3,FALSE)</f>
        <v>0</v>
      </c>
      <c r="D2" s="3">
        <v>2015</v>
      </c>
      <c r="E2" s="2">
        <v>0</v>
      </c>
      <c r="F2" s="2">
        <v>0</v>
      </c>
      <c r="G2" s="2">
        <v>25482.34</v>
      </c>
      <c r="H2" s="2">
        <v>33668.35</v>
      </c>
      <c r="I2" s="2">
        <v>48544.55</v>
      </c>
      <c r="J2" s="2">
        <v>100713.51</v>
      </c>
      <c r="K2" s="2">
        <v>6739.82</v>
      </c>
      <c r="L2" s="2">
        <v>7925.61</v>
      </c>
      <c r="M2" s="2">
        <v>2448.7199999999998</v>
      </c>
      <c r="N2" s="2">
        <v>1897.09</v>
      </c>
      <c r="O2" s="2">
        <v>1430.11</v>
      </c>
      <c r="P2" s="2">
        <v>5947.21</v>
      </c>
      <c r="Q2" s="2">
        <f>SUM(E2:P2)</f>
        <v>234797.30999999997</v>
      </c>
    </row>
    <row r="3" spans="1:18" x14ac:dyDescent="0.25">
      <c r="A3" s="1" t="s">
        <v>18</v>
      </c>
      <c r="B3" t="str">
        <f>VLOOKUP($A3,Receitas!$A:$C,2,FALSE)</f>
        <v>ISS</v>
      </c>
      <c r="C3">
        <f>VLOOKUP($A3,Receitas!$A:$C,3,FALSE)</f>
        <v>0</v>
      </c>
      <c r="D3">
        <v>2015</v>
      </c>
      <c r="E3" s="2">
        <v>12234.53</v>
      </c>
      <c r="F3" s="2">
        <v>10885.36</v>
      </c>
      <c r="G3" s="2">
        <v>11751.32</v>
      </c>
      <c r="H3" s="2">
        <v>13731.62</v>
      </c>
      <c r="I3" s="2">
        <v>15904.36</v>
      </c>
      <c r="J3" s="2">
        <v>17385.009999999998</v>
      </c>
      <c r="K3" s="2">
        <v>19428.18</v>
      </c>
      <c r="L3" s="2">
        <v>13137.67</v>
      </c>
      <c r="M3" s="2">
        <v>18569.5</v>
      </c>
      <c r="N3" s="2">
        <v>21473.19</v>
      </c>
      <c r="O3" s="2">
        <v>17470.919999999998</v>
      </c>
      <c r="P3" s="2">
        <v>21142.91</v>
      </c>
      <c r="Q3" s="2">
        <f>SUM(E3:P3)</f>
        <v>193114.56999999998</v>
      </c>
    </row>
    <row r="4" spans="1:18" x14ac:dyDescent="0.25">
      <c r="A4" s="1" t="s">
        <v>19</v>
      </c>
      <c r="B4" t="str">
        <f>VLOOKUP($A4,Receitas!$A:$C,2,FALSE)</f>
        <v>IPTU</v>
      </c>
      <c r="C4">
        <f>VLOOKUP($A4,Receitas!$A:$C,3,FALSE)</f>
        <v>0</v>
      </c>
      <c r="D4">
        <v>2014</v>
      </c>
      <c r="E4" s="2">
        <v>0</v>
      </c>
      <c r="F4" s="2">
        <v>0</v>
      </c>
      <c r="G4" s="2">
        <v>246.85</v>
      </c>
      <c r="H4" s="2">
        <v>35332.959999999999</v>
      </c>
      <c r="I4" s="2">
        <v>39541.49</v>
      </c>
      <c r="J4" s="2">
        <v>119672.44</v>
      </c>
      <c r="K4" s="2">
        <v>5045.5200000000004</v>
      </c>
      <c r="L4" s="2">
        <v>8829.69</v>
      </c>
      <c r="M4" s="2">
        <v>3567.75</v>
      </c>
      <c r="N4" s="2">
        <v>6997.36</v>
      </c>
      <c r="O4" s="2">
        <v>1466.87</v>
      </c>
      <c r="P4" s="2">
        <v>3309.49</v>
      </c>
      <c r="Q4" s="2">
        <f t="shared" ref="Q4:Q7" si="0">SUM(E4:P4)</f>
        <v>224010.41999999995</v>
      </c>
    </row>
    <row r="5" spans="1:18" x14ac:dyDescent="0.25">
      <c r="A5" s="1" t="s">
        <v>18</v>
      </c>
      <c r="B5" t="str">
        <f>VLOOKUP($A5,Receitas!$A:$C,2,FALSE)</f>
        <v>ISS</v>
      </c>
      <c r="C5">
        <f>VLOOKUP($A5,Receitas!$A:$C,3,FALSE)</f>
        <v>0</v>
      </c>
      <c r="D5">
        <v>2014</v>
      </c>
      <c r="E5" s="2">
        <v>9245.3799999999992</v>
      </c>
      <c r="F5" s="2">
        <v>7669.23</v>
      </c>
      <c r="G5" s="2">
        <v>9326.26</v>
      </c>
      <c r="H5" s="2">
        <v>8767.4699999999993</v>
      </c>
      <c r="I5" s="2">
        <v>11088.89</v>
      </c>
      <c r="J5" s="2">
        <v>12049.99</v>
      </c>
      <c r="K5" s="2">
        <v>17990.599999999999</v>
      </c>
      <c r="L5" s="2">
        <v>13262.62</v>
      </c>
      <c r="M5" s="2">
        <v>18800.66</v>
      </c>
      <c r="N5" s="2">
        <v>15910.25</v>
      </c>
      <c r="O5" s="2">
        <v>14612.09</v>
      </c>
      <c r="P5" s="2">
        <v>19664.7</v>
      </c>
      <c r="Q5" s="2">
        <f t="shared" si="0"/>
        <v>158388.14000000001</v>
      </c>
    </row>
    <row r="6" spans="1:18" x14ac:dyDescent="0.25">
      <c r="A6" s="1" t="s">
        <v>19</v>
      </c>
      <c r="B6" t="str">
        <f>VLOOKUP($A6,Receitas!$A:$C,2,FALSE)</f>
        <v>IPTU</v>
      </c>
      <c r="C6">
        <f>VLOOKUP($A6,Receitas!$A:$C,3,FALSE)</f>
        <v>0</v>
      </c>
      <c r="D6">
        <v>2013</v>
      </c>
      <c r="E6" s="2">
        <v>0</v>
      </c>
      <c r="F6" s="2">
        <v>17742.36</v>
      </c>
      <c r="G6" s="2">
        <v>34448.32</v>
      </c>
      <c r="H6" s="2">
        <v>68713.460000000006</v>
      </c>
      <c r="I6" s="2">
        <v>9004.69</v>
      </c>
      <c r="J6" s="2">
        <v>14103.3</v>
      </c>
      <c r="K6" s="2">
        <v>26331.4</v>
      </c>
      <c r="L6" s="2">
        <v>15925.06</v>
      </c>
      <c r="M6" s="2">
        <v>3458.24</v>
      </c>
      <c r="N6" s="2">
        <v>5241.21</v>
      </c>
      <c r="O6" s="2">
        <v>1704.79</v>
      </c>
      <c r="P6" s="2">
        <v>6323.11</v>
      </c>
      <c r="Q6" s="2">
        <f t="shared" si="0"/>
        <v>202995.93999999997</v>
      </c>
    </row>
    <row r="7" spans="1:18" x14ac:dyDescent="0.25">
      <c r="A7" s="1" t="s">
        <v>18</v>
      </c>
      <c r="B7" t="str">
        <f>VLOOKUP($A7,Receitas!$A:$C,2,FALSE)</f>
        <v>ISS</v>
      </c>
      <c r="C7">
        <f>VLOOKUP($A7,Receitas!$A:$C,3,FALSE)</f>
        <v>0</v>
      </c>
      <c r="D7">
        <v>2013</v>
      </c>
      <c r="E7" s="2">
        <v>7554.18</v>
      </c>
      <c r="F7" s="2">
        <v>7053.23</v>
      </c>
      <c r="G7" s="2">
        <v>9452.75</v>
      </c>
      <c r="H7" s="2">
        <v>10831.91</v>
      </c>
      <c r="I7" s="2">
        <v>10316.790000000001</v>
      </c>
      <c r="J7" s="2">
        <v>9154.25</v>
      </c>
      <c r="K7" s="2">
        <v>10393.77</v>
      </c>
      <c r="L7" s="2">
        <v>12695.48</v>
      </c>
      <c r="M7" s="2">
        <v>12110.52</v>
      </c>
      <c r="N7" s="2">
        <v>11602.08</v>
      </c>
      <c r="O7" s="2">
        <v>11610.04</v>
      </c>
      <c r="P7" s="2">
        <v>12999.49</v>
      </c>
      <c r="Q7" s="2">
        <f t="shared" si="0"/>
        <v>125774.49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140625" style="1" bestFit="1" customWidth="1"/>
    <col min="4" max="4" width="9.28515625" bestFit="1" customWidth="1"/>
    <col min="5" max="9" width="12.140625" style="4" bestFit="1" customWidth="1"/>
    <col min="10" max="10" width="13.28515625" style="4" bestFit="1" customWidth="1"/>
    <col min="11" max="16" width="12.140625" style="4" bestFit="1" customWidth="1"/>
    <col min="17" max="17" width="13.28515625" style="4" bestFit="1" customWidth="1"/>
  </cols>
  <sheetData>
    <row r="1" spans="1:17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x14ac:dyDescent="0.25">
      <c r="A2" s="1" t="s">
        <v>19</v>
      </c>
      <c r="B2" t="str">
        <f>VLOOKUP($A2,Receitas!$A:$C,2,FALSE)</f>
        <v>IPTU</v>
      </c>
      <c r="C2">
        <f>VLOOKUP($A2,Receitas!$A:$C,3,FALSE)</f>
        <v>0</v>
      </c>
      <c r="D2" s="3">
        <v>2015</v>
      </c>
      <c r="E2" s="4">
        <f>Arrecadação!E2/Arrecadação!$Q2</f>
        <v>0</v>
      </c>
      <c r="F2" s="4">
        <f>Arrecadação!F2/Arrecadação!$Q2</f>
        <v>0</v>
      </c>
      <c r="G2" s="4">
        <f>Arrecadação!G2/Arrecadação!$Q2</f>
        <v>0.10852909686231074</v>
      </c>
      <c r="H2" s="4">
        <f>Arrecadação!H2/Arrecadação!$Q2</f>
        <v>0.14339325267397657</v>
      </c>
      <c r="I2" s="4">
        <f>Arrecadação!I2/Arrecadação!$Q2</f>
        <v>0.20675087802326189</v>
      </c>
      <c r="J2" s="4">
        <f>Arrecadação!J2/Arrecadação!$Q2</f>
        <v>0.42893809132651478</v>
      </c>
      <c r="K2" s="4">
        <f>Arrecadação!K2/Arrecadação!$Q2</f>
        <v>2.8704843339133659E-2</v>
      </c>
      <c r="L2" s="4">
        <f>Arrecadação!L2/Arrecadação!$Q2</f>
        <v>3.3755114145047067E-2</v>
      </c>
      <c r="M2" s="4">
        <f>Arrecadação!M2/Arrecadação!$Q2</f>
        <v>1.0429080299088607E-2</v>
      </c>
      <c r="N2" s="4">
        <f>Arrecadação!N2/Arrecadação!$Q2</f>
        <v>8.0796922247533421E-3</v>
      </c>
      <c r="O2" s="4">
        <f>Arrecadação!O2/Arrecadação!$Q2</f>
        <v>6.0908278719206798E-3</v>
      </c>
      <c r="P2" s="4">
        <f>Arrecadação!P2/Arrecadação!$Q2</f>
        <v>2.5329123233992761E-2</v>
      </c>
      <c r="Q2" s="4">
        <f>Arrecadação!Q2/Arrecadação!$Q2</f>
        <v>1</v>
      </c>
    </row>
    <row r="3" spans="1:17" x14ac:dyDescent="0.25">
      <c r="A3" s="1" t="s">
        <v>18</v>
      </c>
      <c r="B3" t="str">
        <f>VLOOKUP($A3,Receitas!$A:$C,2,FALSE)</f>
        <v>ISS</v>
      </c>
      <c r="C3">
        <f>VLOOKUP($A3,Receitas!$A:$C,3,FALSE)</f>
        <v>0</v>
      </c>
      <c r="D3">
        <v>2015</v>
      </c>
      <c r="E3" s="4">
        <f>Arrecadação!E3/Arrecadação!$Q3</f>
        <v>6.335373866404799E-2</v>
      </c>
      <c r="F3" s="4">
        <f>Arrecadação!F3/Arrecadação!$Q3</f>
        <v>5.6367367827295484E-2</v>
      </c>
      <c r="G3" s="4">
        <f>Arrecadação!G3/Arrecadação!$Q3</f>
        <v>6.0851545276982472E-2</v>
      </c>
      <c r="H3" s="4">
        <f>Arrecadação!H3/Arrecadação!$Q3</f>
        <v>7.11060796707364E-2</v>
      </c>
      <c r="I3" s="4">
        <f>Arrecadação!I3/Arrecadação!$Q3</f>
        <v>8.2357120956746049E-2</v>
      </c>
      <c r="J3" s="4">
        <f>Arrecadação!J3/Arrecadação!$Q3</f>
        <v>9.002433115222741E-2</v>
      </c>
      <c r="K3" s="4">
        <f>Arrecadação!K3/Arrecadação!$Q3</f>
        <v>0.10060442358129686</v>
      </c>
      <c r="L3" s="4">
        <f>Arrecadação!L3/Arrecadação!$Q3</f>
        <v>6.8030444310856517E-2</v>
      </c>
      <c r="M3" s="4">
        <f>Arrecadação!M3/Arrecadação!$Q3</f>
        <v>9.6157943960416881E-2</v>
      </c>
      <c r="N3" s="4">
        <f>Arrecadação!N3/Arrecadação!$Q3</f>
        <v>0.11119404403303179</v>
      </c>
      <c r="O3" s="4">
        <f>Arrecadação!O3/Arrecadação!$Q3</f>
        <v>9.0469196601789287E-2</v>
      </c>
      <c r="P3" s="4">
        <f>Arrecadação!P3/Arrecadação!$Q3</f>
        <v>0.10948376396457296</v>
      </c>
      <c r="Q3" s="4">
        <f>Arrecadação!Q3/Arrecadação!$Q3</f>
        <v>1</v>
      </c>
    </row>
    <row r="4" spans="1:17" x14ac:dyDescent="0.25">
      <c r="A4" s="1" t="s">
        <v>19</v>
      </c>
      <c r="B4" t="str">
        <f>VLOOKUP($A4,Receitas!$A:$C,2,FALSE)</f>
        <v>IPTU</v>
      </c>
      <c r="C4">
        <f>VLOOKUP($A4,Receitas!$A:$C,3,FALSE)</f>
        <v>0</v>
      </c>
      <c r="D4">
        <v>2014</v>
      </c>
      <c r="E4" s="4">
        <f>Arrecadação!E4/Arrecadação!$Q4</f>
        <v>0</v>
      </c>
      <c r="F4" s="4">
        <f>Arrecadação!F4/Arrecadação!$Q4</f>
        <v>0</v>
      </c>
      <c r="G4" s="4">
        <f>Arrecadação!G4/Arrecadação!$Q4</f>
        <v>1.1019576678620577E-3</v>
      </c>
      <c r="H4" s="4">
        <f>Arrecadação!H4/Arrecadação!$Q4</f>
        <v>0.15772909135208982</v>
      </c>
      <c r="I4" s="4">
        <f>Arrecadação!I4/Arrecadação!$Q4</f>
        <v>0.17651629776864847</v>
      </c>
      <c r="J4" s="4">
        <f>Arrecadação!J4/Arrecadação!$Q4</f>
        <v>0.53422711318518146</v>
      </c>
      <c r="K4" s="4">
        <f>Arrecadação!K4/Arrecadação!$Q4</f>
        <v>2.2523595107763299E-2</v>
      </c>
      <c r="L4" s="4">
        <f>Arrecadação!L4/Arrecadação!$Q4</f>
        <v>3.9416425360927418E-2</v>
      </c>
      <c r="M4" s="4">
        <f>Arrecadação!M4/Arrecadação!$Q4</f>
        <v>1.5926714480513901E-2</v>
      </c>
      <c r="N4" s="4">
        <f>Arrecadação!N4/Arrecadação!$Q4</f>
        <v>3.1236761218518323E-2</v>
      </c>
      <c r="O4" s="4">
        <f>Arrecadação!O4/Arrecadação!$Q4</f>
        <v>6.5482221764505428E-3</v>
      </c>
      <c r="P4" s="4">
        <f>Arrecadação!P4/Arrecadação!$Q4</f>
        <v>1.477382168204497E-2</v>
      </c>
      <c r="Q4" s="4">
        <f>Arrecadação!Q4/Arrecadação!$Q4</f>
        <v>1</v>
      </c>
    </row>
    <row r="5" spans="1:17" x14ac:dyDescent="0.25">
      <c r="A5" s="1" t="s">
        <v>18</v>
      </c>
      <c r="B5" t="str">
        <f>VLOOKUP($A5,Receitas!$A:$C,2,FALSE)</f>
        <v>ISS</v>
      </c>
      <c r="C5">
        <f>VLOOKUP($A5,Receitas!$A:$C,3,FALSE)</f>
        <v>0</v>
      </c>
      <c r="D5">
        <v>2014</v>
      </c>
      <c r="E5" s="4">
        <f>Arrecadação!E5/Arrecadação!$Q5</f>
        <v>5.8371668484774167E-2</v>
      </c>
      <c r="F5" s="4">
        <f>Arrecadação!F5/Arrecadação!$Q5</f>
        <v>4.8420481483020125E-2</v>
      </c>
      <c r="G5" s="4">
        <f>Arrecadação!G5/Arrecadação!$Q5</f>
        <v>5.8882312779227029E-2</v>
      </c>
      <c r="H5" s="4">
        <f>Arrecadação!H5/Arrecadação!$Q5</f>
        <v>5.5354333979804285E-2</v>
      </c>
      <c r="I5" s="4">
        <f>Arrecadação!I5/Arrecadação!$Q5</f>
        <v>7.0010860661663163E-2</v>
      </c>
      <c r="J5" s="4">
        <f>Arrecadação!J5/Arrecadação!$Q5</f>
        <v>7.6078865500914389E-2</v>
      </c>
      <c r="K5" s="4">
        <f>Arrecadação!K5/Arrecadação!$Q5</f>
        <v>0.11358552477477163</v>
      </c>
      <c r="L5" s="4">
        <f>Arrecadação!L5/Arrecadação!$Q5</f>
        <v>8.3734931163406551E-2</v>
      </c>
      <c r="M5" s="4">
        <f>Arrecadação!M5/Arrecadação!$Q5</f>
        <v>0.11869992286038587</v>
      </c>
      <c r="N5" s="4">
        <f>Arrecadação!N5/Arrecadação!$Q5</f>
        <v>0.10045101861793439</v>
      </c>
      <c r="O5" s="4">
        <f>Arrecadação!O5/Arrecadação!$Q5</f>
        <v>9.2254950402220759E-2</v>
      </c>
      <c r="P5" s="4">
        <f>Arrecadação!P5/Arrecadação!$Q5</f>
        <v>0.12415512929187753</v>
      </c>
      <c r="Q5" s="4">
        <f>Arrecadação!Q5/Arrecadação!$Q5</f>
        <v>1</v>
      </c>
    </row>
    <row r="6" spans="1:17" x14ac:dyDescent="0.25">
      <c r="A6" s="1" t="s">
        <v>19</v>
      </c>
      <c r="B6" t="str">
        <f>VLOOKUP($A6,Receitas!$A:$C,2,FALSE)</f>
        <v>IPTU</v>
      </c>
      <c r="C6">
        <f>VLOOKUP($A6,Receitas!$A:$C,3,FALSE)</f>
        <v>0</v>
      </c>
      <c r="D6">
        <v>2013</v>
      </c>
      <c r="E6" s="4">
        <f>Arrecadação!E6/Arrecadação!$Q6</f>
        <v>0</v>
      </c>
      <c r="F6" s="4">
        <f>Arrecadação!F6/Arrecadação!$Q6</f>
        <v>8.7402536228064473E-2</v>
      </c>
      <c r="G6" s="4">
        <f>Arrecadação!G6/Arrecadação!$Q6</f>
        <v>0.16969955162650052</v>
      </c>
      <c r="H6" s="4">
        <f>Arrecadação!H6/Arrecadação!$Q6</f>
        <v>0.33849672067332981</v>
      </c>
      <c r="I6" s="4">
        <f>Arrecadação!I6/Arrecadação!$Q6</f>
        <v>4.435896599705394E-2</v>
      </c>
      <c r="J6" s="4">
        <f>Arrecadação!J6/Arrecadação!$Q6</f>
        <v>6.9475773751928246E-2</v>
      </c>
      <c r="K6" s="4">
        <f>Arrecadação!K6/Arrecadação!$Q6</f>
        <v>0.12971392432774767</v>
      </c>
      <c r="L6" s="4">
        <f>Arrecadação!L6/Arrecadação!$Q6</f>
        <v>7.8450140431380058E-2</v>
      </c>
      <c r="M6" s="4">
        <f>Arrecadação!M6/Arrecadação!$Q6</f>
        <v>1.7036005744745439E-2</v>
      </c>
      <c r="N6" s="4">
        <f>Arrecadação!N6/Arrecadação!$Q6</f>
        <v>2.5819284858603578E-2</v>
      </c>
      <c r="O6" s="4">
        <f>Arrecadação!O6/Arrecadação!$Q6</f>
        <v>8.3981482585316746E-3</v>
      </c>
      <c r="P6" s="4">
        <f>Arrecadação!P6/Arrecadação!$Q6</f>
        <v>3.1148948102114753E-2</v>
      </c>
      <c r="Q6" s="4">
        <f>Arrecadação!Q6/Arrecadação!$Q6</f>
        <v>1</v>
      </c>
    </row>
    <row r="7" spans="1:17" x14ac:dyDescent="0.25">
      <c r="A7" s="1" t="s">
        <v>18</v>
      </c>
      <c r="B7" t="str">
        <f>VLOOKUP($A7,Receitas!$A:$C,2,FALSE)</f>
        <v>ISS</v>
      </c>
      <c r="C7">
        <f>VLOOKUP($A7,Receitas!$A:$C,3,FALSE)</f>
        <v>0</v>
      </c>
      <c r="D7">
        <v>2013</v>
      </c>
      <c r="E7" s="4">
        <f>Arrecadação!E7/Arrecadação!$Q7</f>
        <v>6.0061304959376102E-2</v>
      </c>
      <c r="F7" s="4">
        <f>Arrecadação!F7/Arrecadação!$Q7</f>
        <v>5.6078382826278993E-2</v>
      </c>
      <c r="G7" s="4">
        <f>Arrecadação!G7/Arrecadação!$Q7</f>
        <v>7.5156337346309249E-2</v>
      </c>
      <c r="H7" s="4">
        <f>Arrecadação!H7/Arrecadação!$Q7</f>
        <v>8.6121676979171211E-2</v>
      </c>
      <c r="I7" s="4">
        <f>Arrecadação!I7/Arrecadação!$Q7</f>
        <v>8.2026092890537666E-2</v>
      </c>
      <c r="J7" s="4">
        <f>Arrecadação!J7/Arrecadação!$Q7</f>
        <v>7.2783042093829992E-2</v>
      </c>
      <c r="K7" s="4">
        <f>Arrecadação!K7/Arrecadação!$Q7</f>
        <v>8.2638140691327786E-2</v>
      </c>
      <c r="L7" s="4">
        <f>Arrecadação!L7/Arrecadação!$Q7</f>
        <v>0.10093843354085553</v>
      </c>
      <c r="M7" s="4">
        <f>Arrecadação!M7/Arrecadação!$Q7</f>
        <v>9.6287569919782615E-2</v>
      </c>
      <c r="N7" s="4">
        <f>Arrecadação!N7/Arrecadação!$Q7</f>
        <v>9.2245096760082274E-2</v>
      </c>
      <c r="O7" s="4">
        <f>Arrecadação!O7/Arrecadação!$Q7</f>
        <v>9.2308384633481719E-2</v>
      </c>
      <c r="P7" s="4">
        <f>Arrecadação!P7/Arrecadação!$Q7</f>
        <v>0.10335553735896683</v>
      </c>
      <c r="Q7" s="4">
        <f>Arrecadação!Q7/Arrecadação!$Q7</f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140625" style="1" bestFit="1" customWidth="1"/>
    <col min="2" max="2" width="7.5703125" bestFit="1" customWidth="1"/>
    <col min="3" max="3" width="6.140625" bestFit="1" customWidth="1"/>
    <col min="4" max="4" width="8.5703125" style="4" bestFit="1" customWidth="1"/>
    <col min="5" max="11" width="9.5703125" style="4" bestFit="1" customWidth="1"/>
    <col min="12" max="12" width="9.7109375" style="4" bestFit="1" customWidth="1"/>
    <col min="13" max="13" width="9.5703125" style="4" bestFit="1" customWidth="1"/>
    <col min="14" max="14" width="10.42578125" style="4" bestFit="1" customWidth="1"/>
    <col min="15" max="15" width="10.140625" style="4" bestFit="1" customWidth="1"/>
    <col min="16" max="16" width="10.5703125" style="4" bestFit="1" customWidth="1"/>
  </cols>
  <sheetData>
    <row r="1" spans="1:16" x14ac:dyDescent="0.25">
      <c r="A1" s="6" t="s">
        <v>0</v>
      </c>
      <c r="B1" s="7" t="s">
        <v>1</v>
      </c>
      <c r="C1" s="7" t="s">
        <v>2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</row>
    <row r="2" spans="1:16" x14ac:dyDescent="0.25">
      <c r="A2" s="1" t="s">
        <v>19</v>
      </c>
      <c r="B2" t="str">
        <f>VLOOKUP($A2,Receitas!$A:$C,2,FALSE)</f>
        <v>IPTU</v>
      </c>
      <c r="C2">
        <f>VLOOKUP($A2,Receitas!$A:$C,3,FALSE)</f>
        <v>0</v>
      </c>
      <c r="D2" s="4">
        <f>IF(ISERR(SUMIF(Sazonalidade!$A:$A,$A2,Sazonalidade!E:E)/COUNTIFS(Sazonalidade!E:E,"&lt;&gt;0",Sazonalidade!$A:$A,$A2)),0,SUMIF(Sazonalidade!$A:$A,$A2,Sazonalidade!E:E)/COUNTIFS(Sazonalidade!E:E,"&lt;&gt;0",Sazonalidade!$A:$A,$A2))</f>
        <v>0</v>
      </c>
      <c r="E2" s="4">
        <f>SUMIF(Sazonalidade!$A:$A,$A2,Sazonalidade!F:F)/COUNTIFS(Sazonalidade!F:F,"&lt;&gt;0",Sazonalidade!$A:$A,$A2)</f>
        <v>8.7402536228064473E-2</v>
      </c>
      <c r="F2" s="4">
        <f>SUMIF(Sazonalidade!$A:$A,$A2,Sazonalidade!G:G)/COUNTIFS(Sazonalidade!G:G,"&lt;&gt;0",Sazonalidade!$A:$A,$A2)</f>
        <v>9.3110202052224436E-2</v>
      </c>
      <c r="G2" s="4">
        <f>SUMIF(Sazonalidade!$A:$A,$A2,Sazonalidade!H:H)/COUNTIFS(Sazonalidade!H:H,"&lt;&gt;0",Sazonalidade!$A:$A,$A2)</f>
        <v>0.21320635489979875</v>
      </c>
      <c r="H2" s="4">
        <f>SUMIF(Sazonalidade!$A:$A,$A2,Sazonalidade!I:I)/COUNTIFS(Sazonalidade!I:I,"&lt;&gt;0",Sazonalidade!$A:$A,$A2)</f>
        <v>0.14254204726298811</v>
      </c>
      <c r="I2" s="4">
        <f>SUMIF(Sazonalidade!$A:$A,$A2,Sazonalidade!J:J)/COUNTIFS(Sazonalidade!J:J,"&lt;&gt;0",Sazonalidade!$A:$A,$A2)</f>
        <v>0.34421365942120818</v>
      </c>
      <c r="J2" s="4">
        <f>SUMIF(Sazonalidade!$A:$A,$A2,Sazonalidade!K:K)/COUNTIFS(Sazonalidade!K:K,"&lt;&gt;0",Sazonalidade!$A:$A,$A2)</f>
        <v>6.0314120924881538E-2</v>
      </c>
      <c r="K2" s="4">
        <f>SUMIF(Sazonalidade!$A:$A,$A2,Sazonalidade!L:L)/COUNTIFS(Sazonalidade!L:L,"&lt;&gt;0",Sazonalidade!$A:$A,$A2)</f>
        <v>5.0540559979118181E-2</v>
      </c>
      <c r="L2" s="4">
        <f>SUMIF(Sazonalidade!$A:$A,$A2,Sazonalidade!M:M)/COUNTIFS(Sazonalidade!M:M,"&lt;&gt;0",Sazonalidade!$A:$A,$A2)</f>
        <v>1.4463933508115983E-2</v>
      </c>
      <c r="M2" s="4">
        <f>SUMIF(Sazonalidade!$A:$A,$A2,Sazonalidade!N:N)/COUNTIFS(Sazonalidade!N:N,"&lt;&gt;0",Sazonalidade!$A:$A,$A2)</f>
        <v>2.1711912767291747E-2</v>
      </c>
      <c r="N2" s="4">
        <f>SUMIF(Sazonalidade!$A:$A,$A2,Sazonalidade!O:O)/COUNTIFS(Sazonalidade!O:O,"&lt;&gt;0",Sazonalidade!$A:$A,$A2)</f>
        <v>7.0123994356342994E-3</v>
      </c>
      <c r="O2" s="4">
        <f>SUMIF(Sazonalidade!$A:$A,$A2,Sazonalidade!P:P)/COUNTIFS(Sazonalidade!P:P,"&lt;&gt;0",Sazonalidade!$A:$A,$A2)</f>
        <v>2.3750631006050831E-2</v>
      </c>
      <c r="P2" s="4">
        <f>SUM(D2:O2)</f>
        <v>1.0582683574853768</v>
      </c>
    </row>
    <row r="3" spans="1:16" x14ac:dyDescent="0.25">
      <c r="A3" s="1" t="s">
        <v>18</v>
      </c>
      <c r="B3" t="str">
        <f>VLOOKUP($A3,Receitas!$A:$C,2,FALSE)</f>
        <v>ISS</v>
      </c>
      <c r="C3">
        <f>VLOOKUP($A3,Receitas!$A:$C,3,FALSE)</f>
        <v>0</v>
      </c>
      <c r="D3" s="4">
        <f>IF(ISERR(SUMIF(Sazonalidade!$A:$A,$A3,Sazonalidade!E:E)/COUNTIFS(Sazonalidade!E:E,"&lt;&gt;0",Sazonalidade!$A:$A,$A3)),0,SUMIF(Sazonalidade!$A:$A,$A3,Sazonalidade!E:E)/COUNTIFS(Sazonalidade!E:E,"&lt;&gt;0",Sazonalidade!$A:$A,$A3))</f>
        <v>6.0595570702732748E-2</v>
      </c>
      <c r="E3" s="4">
        <f>SUMIF(Sazonalidade!$A:$A,$A3,Sazonalidade!F:F)/COUNTIFS(Sazonalidade!F:F,"&lt;&gt;0",Sazonalidade!$A:$A,$A3)</f>
        <v>5.3622077378864867E-2</v>
      </c>
      <c r="F3" s="4">
        <f>SUMIF(Sazonalidade!$A:$A,$A3,Sazonalidade!G:G)/COUNTIFS(Sazonalidade!G:G,"&lt;&gt;0",Sazonalidade!$A:$A,$A3)</f>
        <v>6.4963398467506248E-2</v>
      </c>
      <c r="G3" s="4">
        <f>SUMIF(Sazonalidade!$A:$A,$A3,Sazonalidade!H:H)/COUNTIFS(Sazonalidade!H:H,"&lt;&gt;0",Sazonalidade!$A:$A,$A3)</f>
        <v>7.0860696876570636E-2</v>
      </c>
      <c r="H3" s="4">
        <f>SUMIF(Sazonalidade!$A:$A,$A3,Sazonalidade!I:I)/COUNTIFS(Sazonalidade!I:I,"&lt;&gt;0",Sazonalidade!$A:$A,$A3)</f>
        <v>7.813135816964896E-2</v>
      </c>
      <c r="I3" s="4">
        <f>SUMIF(Sazonalidade!$A:$A,$A3,Sazonalidade!J:J)/COUNTIFS(Sazonalidade!J:J,"&lt;&gt;0",Sazonalidade!$A:$A,$A3)</f>
        <v>7.9628746248990592E-2</v>
      </c>
      <c r="J3" s="4">
        <f>SUMIF(Sazonalidade!$A:$A,$A3,Sazonalidade!K:K)/COUNTIFS(Sazonalidade!K:K,"&lt;&gt;0",Sazonalidade!$A:$A,$A3)</f>
        <v>9.8942696349132095E-2</v>
      </c>
      <c r="K3" s="4">
        <f>SUMIF(Sazonalidade!$A:$A,$A3,Sazonalidade!L:L)/COUNTIFS(Sazonalidade!L:L,"&lt;&gt;0",Sazonalidade!$A:$A,$A3)</f>
        <v>8.4234603005039529E-2</v>
      </c>
      <c r="L3" s="4">
        <f>SUMIF(Sazonalidade!$A:$A,$A3,Sazonalidade!M:M)/COUNTIFS(Sazonalidade!M:M,"&lt;&gt;0",Sazonalidade!$A:$A,$A3)</f>
        <v>0.10371514558019512</v>
      </c>
      <c r="M3" s="4">
        <f>SUMIF(Sazonalidade!$A:$A,$A3,Sazonalidade!N:N)/COUNTIFS(Sazonalidade!N:N,"&lt;&gt;0",Sazonalidade!$A:$A,$A3)</f>
        <v>0.10129671980368282</v>
      </c>
      <c r="N3" s="4">
        <f>SUMIF(Sazonalidade!$A:$A,$A3,Sazonalidade!O:O)/COUNTIFS(Sazonalidade!O:O,"&lt;&gt;0",Sazonalidade!$A:$A,$A3)</f>
        <v>9.1677510545830579E-2</v>
      </c>
      <c r="O3" s="4">
        <f>SUMIF(Sazonalidade!$A:$A,$A3,Sazonalidade!P:P)/COUNTIFS(Sazonalidade!P:P,"&lt;&gt;0",Sazonalidade!$A:$A,$A3)</f>
        <v>0.11233147687180578</v>
      </c>
      <c r="P3" s="4">
        <f>SUM(D3:O3)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140625" style="1" bestFit="1" customWidth="1"/>
    <col min="2" max="2" width="7.5703125" bestFit="1" customWidth="1"/>
    <col min="3" max="3" width="6.140625" bestFit="1" customWidth="1"/>
    <col min="4" max="4" width="8.5703125" style="4" bestFit="1" customWidth="1"/>
    <col min="5" max="11" width="9.5703125" style="4" bestFit="1" customWidth="1"/>
    <col min="12" max="12" width="9.7109375" style="4" bestFit="1" customWidth="1"/>
    <col min="13" max="13" width="9.5703125" style="4" bestFit="1" customWidth="1"/>
    <col min="14" max="14" width="10.42578125" style="4" bestFit="1" customWidth="1"/>
    <col min="15" max="15" width="10.140625" style="4" bestFit="1" customWidth="1"/>
    <col min="16" max="16" width="9.140625" style="4"/>
  </cols>
  <sheetData>
    <row r="1" spans="1:16" x14ac:dyDescent="0.25">
      <c r="A1" s="6" t="s">
        <v>0</v>
      </c>
      <c r="B1" s="7" t="s">
        <v>1</v>
      </c>
      <c r="C1" s="7" t="s">
        <v>2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</row>
    <row r="2" spans="1:16" x14ac:dyDescent="0.25">
      <c r="A2" s="1" t="s">
        <v>19</v>
      </c>
      <c r="B2" t="str">
        <f>VLOOKUP($A2,Receitas!$A:$C,2,FALSE)</f>
        <v>IPTU</v>
      </c>
      <c r="C2">
        <f>VLOOKUP($A2,Receitas!$A:$C,3,FALSE)</f>
        <v>0</v>
      </c>
      <c r="D2" s="4">
        <f>'Sazonalidade Média'!D2*1/'Sazonalidade Média'!$P2</f>
        <v>0</v>
      </c>
      <c r="E2" s="4">
        <f>'Sazonalidade Média'!E2*1/'Sazonalidade Média'!$P2</f>
        <v>8.2590144182093442E-2</v>
      </c>
      <c r="F2" s="4">
        <f>'Sazonalidade Média'!F2*1/'Sazonalidade Média'!$P2</f>
        <v>8.7983545377346345E-2</v>
      </c>
      <c r="G2" s="4">
        <f>'Sazonalidade Média'!G2*1/'Sazonalidade Média'!$P2</f>
        <v>0.20146719250532333</v>
      </c>
      <c r="H2" s="4">
        <f>'Sazonalidade Média'!H2*1/'Sazonalidade Média'!$P2</f>
        <v>0.13469366843934738</v>
      </c>
      <c r="I2" s="4">
        <f>'Sazonalidade Média'!I2*1/'Sazonalidade Média'!$P2</f>
        <v>0.32526122224717896</v>
      </c>
      <c r="J2" s="4">
        <f>'Sazonalidade Média'!J2*1/'Sazonalidade Média'!$P2</f>
        <v>5.6993219629280049E-2</v>
      </c>
      <c r="K2" s="4">
        <f>'Sazonalidade Média'!K2*1/'Sazonalidade Média'!$P2</f>
        <v>4.7757791888638747E-2</v>
      </c>
      <c r="L2" s="4">
        <f>'Sazonalidade Média'!L2*1/'Sazonalidade Média'!$P2</f>
        <v>1.3667547938865635E-2</v>
      </c>
      <c r="M2" s="4">
        <f>'Sazonalidade Média'!M2*1/'Sazonalidade Média'!$P2</f>
        <v>2.0516452763345298E-2</v>
      </c>
      <c r="N2" s="4">
        <f>'Sazonalidade Média'!N2*1/'Sazonalidade Média'!$P2</f>
        <v>6.6262960486666508E-3</v>
      </c>
      <c r="O2" s="4">
        <f>'Sazonalidade Média'!O2*1/'Sazonalidade Média'!$P2</f>
        <v>2.2442918979913861E-2</v>
      </c>
      <c r="P2" s="4">
        <f>SUM(D2:O2)</f>
        <v>0.99999999999999967</v>
      </c>
    </row>
    <row r="3" spans="1:16" x14ac:dyDescent="0.25">
      <c r="A3" s="1" t="s">
        <v>18</v>
      </c>
      <c r="B3" t="str">
        <f>VLOOKUP($A3,Receitas!$A:$C,2,FALSE)</f>
        <v>ISS</v>
      </c>
      <c r="C3">
        <f>VLOOKUP($A3,Receitas!$A:$C,3,FALSE)</f>
        <v>0</v>
      </c>
      <c r="D3" s="4">
        <f>'Sazonalidade Média'!D3*1/'Sazonalidade Média'!$P3</f>
        <v>6.0595570702732748E-2</v>
      </c>
      <c r="E3" s="4">
        <f>'Sazonalidade Média'!E3*1/'Sazonalidade Média'!$P3</f>
        <v>5.3622077378864867E-2</v>
      </c>
      <c r="F3" s="4">
        <f>'Sazonalidade Média'!F3*1/'Sazonalidade Média'!$P3</f>
        <v>6.4963398467506248E-2</v>
      </c>
      <c r="G3" s="4">
        <f>'Sazonalidade Média'!G3*1/'Sazonalidade Média'!$P3</f>
        <v>7.0860696876570636E-2</v>
      </c>
      <c r="H3" s="4">
        <f>'Sazonalidade Média'!H3*1/'Sazonalidade Média'!$P3</f>
        <v>7.813135816964896E-2</v>
      </c>
      <c r="I3" s="4">
        <f>'Sazonalidade Média'!I3*1/'Sazonalidade Média'!$P3</f>
        <v>7.9628746248990592E-2</v>
      </c>
      <c r="J3" s="4">
        <f>'Sazonalidade Média'!J3*1/'Sazonalidade Média'!$P3</f>
        <v>9.8942696349132095E-2</v>
      </c>
      <c r="K3" s="4">
        <f>'Sazonalidade Média'!K3*1/'Sazonalidade Média'!$P3</f>
        <v>8.4234603005039529E-2</v>
      </c>
      <c r="L3" s="4">
        <f>'Sazonalidade Média'!L3*1/'Sazonalidade Média'!$P3</f>
        <v>0.10371514558019512</v>
      </c>
      <c r="M3" s="4">
        <f>'Sazonalidade Média'!M3*1/'Sazonalidade Média'!$P3</f>
        <v>0.10129671980368282</v>
      </c>
      <c r="N3" s="4">
        <f>'Sazonalidade Média'!N3*1/'Sazonalidade Média'!$P3</f>
        <v>9.1677510545830579E-2</v>
      </c>
      <c r="O3" s="4">
        <f>'Sazonalidade Média'!O3*1/'Sazonalidade Média'!$P3</f>
        <v>0.11233147687180578</v>
      </c>
      <c r="P3" s="4">
        <f>SUM(D3:O3)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140625" style="1" bestFit="1" customWidth="1"/>
    <col min="4" max="8" width="12.140625" style="5" bestFit="1" customWidth="1"/>
    <col min="9" max="9" width="13.28515625" style="5" bestFit="1" customWidth="1"/>
    <col min="10" max="15" width="12.140625" style="5" bestFit="1" customWidth="1"/>
    <col min="16" max="16" width="13.28515625" style="5" bestFit="1" customWidth="1"/>
  </cols>
  <sheetData>
    <row r="1" spans="1:16" x14ac:dyDescent="0.25">
      <c r="A1" s="6" t="s">
        <v>0</v>
      </c>
      <c r="B1" s="7" t="s">
        <v>1</v>
      </c>
      <c r="C1" s="7" t="s">
        <v>2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</row>
    <row r="2" spans="1:16" x14ac:dyDescent="0.25">
      <c r="A2" s="1" t="s">
        <v>19</v>
      </c>
      <c r="B2" t="str">
        <f>VLOOKUP($A2,Receitas!$A:$C,2,FALSE)</f>
        <v>IPTU</v>
      </c>
      <c r="C2">
        <f>VLOOKUP($A2,Receitas!$A:$C,3,FALSE)</f>
        <v>0</v>
      </c>
      <c r="D2" s="5">
        <f>$P2*'Sazonalidade Corrigida'!D2</f>
        <v>0</v>
      </c>
      <c r="E2" s="5">
        <f>$P2*'Sazonalidade Corrigida'!E2</f>
        <v>16518.028836418689</v>
      </c>
      <c r="F2" s="5">
        <f>$P2*'Sazonalidade Corrigida'!F2</f>
        <v>17596.709075469269</v>
      </c>
      <c r="G2" s="5">
        <f>$P2*'Sazonalidade Corrigida'!G2</f>
        <v>40293.438501064666</v>
      </c>
      <c r="H2" s="5">
        <f>$P2*'Sazonalidade Corrigida'!H2</f>
        <v>26938.733687869477</v>
      </c>
      <c r="I2" s="5">
        <f>$P2*'Sazonalidade Corrigida'!I2</f>
        <v>65052.244449435791</v>
      </c>
      <c r="J2" s="5">
        <f>$P2*'Sazonalidade Corrigida'!J2</f>
        <v>11398.643925856009</v>
      </c>
      <c r="K2" s="5">
        <f>$P2*'Sazonalidade Corrigida'!K2</f>
        <v>9551.5583777277498</v>
      </c>
      <c r="L2" s="5">
        <f>$P2*'Sazonalidade Corrigida'!L2</f>
        <v>2733.5095877731269</v>
      </c>
      <c r="M2" s="5">
        <f>$P2*'Sazonalidade Corrigida'!M2</f>
        <v>4103.2905526690593</v>
      </c>
      <c r="N2" s="5">
        <f>$P2*'Sazonalidade Corrigida'!N2</f>
        <v>1325.2592097333302</v>
      </c>
      <c r="O2" s="5">
        <f>P2-SUM(D2:N2)</f>
        <v>4488.5837959828204</v>
      </c>
      <c r="P2" s="5">
        <f>VLOOKUP($A2,Receitas!$A:$D,4,FALSE)</f>
        <v>200000</v>
      </c>
    </row>
    <row r="3" spans="1:16" x14ac:dyDescent="0.25">
      <c r="A3" s="1" t="s">
        <v>18</v>
      </c>
      <c r="B3" t="str">
        <f>VLOOKUP($A3,Receitas!$A:$C,2,FALSE)</f>
        <v>ISS</v>
      </c>
      <c r="C3">
        <f>VLOOKUP($A3,Receitas!$A:$C,3,FALSE)</f>
        <v>0</v>
      </c>
      <c r="D3" s="5">
        <f>$P3*'Sazonalidade Corrigida'!D3</f>
        <v>7271.4684843279301</v>
      </c>
      <c r="E3" s="5">
        <f>$P3*'Sazonalidade Corrigida'!E3</f>
        <v>6434.6492854637845</v>
      </c>
      <c r="F3" s="5">
        <f>$P3*'Sazonalidade Corrigida'!F3</f>
        <v>7795.6078161007499</v>
      </c>
      <c r="G3" s="5">
        <f>$P3*'Sazonalidade Corrigida'!G3</f>
        <v>8503.2836251884764</v>
      </c>
      <c r="H3" s="5">
        <f>$P3*'Sazonalidade Corrigida'!H3</f>
        <v>9375.7629803578748</v>
      </c>
      <c r="I3" s="5">
        <f>$P3*'Sazonalidade Corrigida'!I3</f>
        <v>9555.449549878871</v>
      </c>
      <c r="J3" s="5">
        <f>$P3*'Sazonalidade Corrigida'!J3</f>
        <v>11873.123561895851</v>
      </c>
      <c r="K3" s="5">
        <f>$P3*'Sazonalidade Corrigida'!K3</f>
        <v>10108.152360604743</v>
      </c>
      <c r="L3" s="5">
        <f>$P3*'Sazonalidade Corrigida'!L3</f>
        <v>12445.817469623415</v>
      </c>
      <c r="M3" s="5">
        <f>$P3*'Sazonalidade Corrigida'!M3</f>
        <v>12155.606376441938</v>
      </c>
      <c r="N3" s="5">
        <f>$P3*'Sazonalidade Corrigida'!N3</f>
        <v>11001.301265499669</v>
      </c>
      <c r="O3" s="5">
        <f>P3-SUM(D3:N3)</f>
        <v>13479.777224616686</v>
      </c>
      <c r="P3" s="5">
        <f>VLOOKUP($A3,Receitas!$A:$D,4,FALSE)</f>
        <v>120000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Receitas</vt:lpstr>
      <vt:lpstr>Arrecadação</vt:lpstr>
      <vt:lpstr>Sazonalidade</vt:lpstr>
      <vt:lpstr>Sazonalidade Média</vt:lpstr>
      <vt:lpstr>Sazonalidade Corrigida</vt:lpstr>
      <vt:lpstr>Previsão 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</dc:creator>
  <cp:lastModifiedBy>Everton</cp:lastModifiedBy>
  <dcterms:created xsi:type="dcterms:W3CDTF">2016-04-05T12:36:43Z</dcterms:created>
  <dcterms:modified xsi:type="dcterms:W3CDTF">2016-04-05T14:28:28Z</dcterms:modified>
</cp:coreProperties>
</file>