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ssoal TCE" sheetId="1" state="visible" r:id="rId2"/>
    <sheet name="Pessoal ST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<sst xmlns="http://schemas.openxmlformats.org/spreadsheetml/2006/main" count="170" uniqueCount="134">
  <si>
    <t xml:space="preserve">ITEM</t>
  </si>
  <si>
    <t xml:space="preserve">CÓDIGO</t>
  </si>
  <si>
    <t xml:space="preserve">ÍNDICE</t>
  </si>
  <si>
    <t xml:space="preserve">RCL</t>
  </si>
  <si>
    <t xml:space="preserve">DTP</t>
  </si>
  <si>
    <t xml:space="preserve">Receitas Correntes</t>
  </si>
  <si>
    <t xml:space="preserve">1.0.0.0.00.00.00.00.00</t>
  </si>
  <si>
    <t xml:space="preserve">(-) Deduções da Receita Corrente</t>
  </si>
  <si>
    <t xml:space="preserve">9.1.0.0.0.00.00.00.00.00</t>
  </si>
  <si>
    <t xml:space="preserve">(-) Ativos / Inativos Poder Executivo / Indiretas</t>
  </si>
  <si>
    <t xml:space="preserve">1.1.1.2.04.31.01.00.00</t>
  </si>
  <si>
    <t xml:space="preserve">(-) Ativos / Inativos Poder Legislativo</t>
  </si>
  <si>
    <t xml:space="preserve">1.1.1.2.04.31.02.00.00</t>
  </si>
  <si>
    <t xml:space="preserve">(-) Multas e Juros de Mora do IRRF</t>
  </si>
  <si>
    <t xml:space="preserve">1.9.1.1.02.03.00.00.00</t>
  </si>
  <si>
    <t xml:space="preserve">(-) Multas e Juros de Mora da Dívida Ativa do IRRF</t>
  </si>
  <si>
    <t xml:space="preserve">1.9.1.3.02.03.00.00.00</t>
  </si>
  <si>
    <t xml:space="preserve">(-) Receita da Dívida Ativa do IRRF</t>
  </si>
  <si>
    <t xml:space="preserve">1.9.3.1.01.03.00.00.00</t>
  </si>
  <si>
    <t xml:space="preserve">(-) Contribuição Social para o Financiamento da Seguridade Social</t>
  </si>
  <si>
    <t xml:space="preserve">1.2.1.0.01.00.00.00.00</t>
  </si>
  <si>
    <t xml:space="preserve">(-) Contribuição para o RPPS do Servidor Público</t>
  </si>
  <si>
    <t xml:space="preserve">1.2.1.0.29.00.00.00.00</t>
  </si>
  <si>
    <t xml:space="preserve">(-) Compensações Financeiras Entre RGPS e RPPS</t>
  </si>
  <si>
    <t xml:space="preserve">1.9.2.2.10.00.00.00.00</t>
  </si>
  <si>
    <t xml:space="preserve">(-) Remuneração dos Investimentos do RPPS</t>
  </si>
  <si>
    <t xml:space="preserve">1.3.2.8.00.00.00.00.00</t>
  </si>
  <si>
    <t xml:space="preserve">(-) Outras Receitas Diretamente Arrecadadas pelo RPPS</t>
  </si>
  <si>
    <t xml:space="preserve">1.9.9.0.99.00.01.00.00</t>
  </si>
  <si>
    <t xml:space="preserve">(-) Receita de Rendimentos de Aplicações Financeiras - Fundo de Assistência Social do Servidor</t>
  </si>
  <si>
    <t xml:space="preserve">1.3.2.5.01.99.02.00.00</t>
  </si>
  <si>
    <t xml:space="preserve">(-) Receitas Diretamente Arrecadadas pelo Fundo de Assistência Social dos Servidores</t>
  </si>
  <si>
    <t xml:space="preserve">1.9.9.0.99.00.04.00.00</t>
  </si>
  <si>
    <t xml:space="preserve">(-) Receita de Rendimentos de Aplicações Financeiras - Fundo de Assistência à Saúde do Servidor</t>
  </si>
  <si>
    <t xml:space="preserve">1.3.2.5.01.99.03.00.00</t>
  </si>
  <si>
    <t xml:space="preserve">(-) Receitas Diretamente Arrecadadas pelo Fundo de Assistência à Saúde dos Servidores</t>
  </si>
  <si>
    <t xml:space="preserve">1.9.9.0.99.00.05.00.00</t>
  </si>
  <si>
    <t xml:space="preserve">(-) Outras Contribuições Sociais</t>
  </si>
  <si>
    <t xml:space="preserve">1.2.1.0.99.00.00.00.00</t>
  </si>
  <si>
    <t xml:space="preserve">(+) Compensação Previdenciária à Prefeitura Municipal</t>
  </si>
  <si>
    <t xml:space="preserve">1.2.1.0.99.00.10.00.00</t>
  </si>
  <si>
    <t xml:space="preserve">(+) Contribuição de Inativos e Pensionistas à Prefeitura Municipal</t>
  </si>
  <si>
    <t xml:space="preserve">1.2.1.0.99.00.11.00.00</t>
  </si>
  <si>
    <t xml:space="preserve">(-) Multas e Juros de Mora das Contribuições ao RPPS</t>
  </si>
  <si>
    <t xml:space="preserve">1.9.1.2.29.00.00.00.00</t>
  </si>
  <si>
    <t xml:space="preserve">(-) Multas e Juros de Mora de Outras Contribuições – Principal</t>
  </si>
  <si>
    <t xml:space="preserve">1.9.1.2.99.01.00.00.00</t>
  </si>
  <si>
    <t xml:space="preserve">(-) Multas e Juros de Mora da Dívida Ativa das Contribuições</t>
  </si>
  <si>
    <t xml:space="preserve">1.9.1.4.00.00.00.00.00</t>
  </si>
  <si>
    <t xml:space="preserve">(-) Receita da Dívida Ativa de Outras Contribuições</t>
  </si>
  <si>
    <t xml:space="preserve">1.9.3.2.16.00.00.00.00</t>
  </si>
  <si>
    <t xml:space="preserve">(-) Transferência do FUNDEB</t>
  </si>
  <si>
    <t xml:space="preserve">4.1.7.2.4.01.00.00.00.00</t>
  </si>
  <si>
    <t xml:space="preserve">(+) Deduções para o FUNDEB (CP105)</t>
  </si>
  <si>
    <t xml:space="preserve">Pessoal e Encargos Sociais (Despesa Liquidada)</t>
  </si>
  <si>
    <t xml:space="preserve">3.1.00.00.00.00.00.00</t>
  </si>
  <si>
    <t xml:space="preserve">(-) Aposentadorias do RPPS, Reserva Remunerada e Reformas dos Militares (RV0050)</t>
  </si>
  <si>
    <t xml:space="preserve">3.1.90.01.00.00.00.00</t>
  </si>
  <si>
    <t xml:space="preserve">(-) Pensões do RPPS e do Militar (RV0050)</t>
  </si>
  <si>
    <t xml:space="preserve">3.1.90.03.00.00.00.00</t>
  </si>
  <si>
    <t xml:space="preserve">(-) Outros Benefícios Previdenciários – Pessoal Ativo  (RV0050)</t>
  </si>
  <si>
    <t xml:space="preserve">3.1.90.05.00.01.00.00</t>
  </si>
  <si>
    <t xml:space="preserve">(-) Outros Benefícios Previdenciários – Pessoal Inativo  (RV0050)</t>
  </si>
  <si>
    <t xml:space="preserve">3.1.90.05.00.02.00.00</t>
  </si>
  <si>
    <t xml:space="preserve">(-) Outros Benefícios Previdenciários – Pensionistas (RV0050)</t>
  </si>
  <si>
    <t xml:space="preserve">3.1.90.05.00.03.00.00</t>
  </si>
  <si>
    <t xml:space="preserve">(-) Outros Benefícios Assistenciais do Servidor e do Militar (RV0050)</t>
  </si>
  <si>
    <t xml:space="preserve">3.1.90.08.00.00.00.00</t>
  </si>
  <si>
    <t xml:space="preserve">(-) Abono de Permanência</t>
  </si>
  <si>
    <t xml:space="preserve">3.1.90.11.07.00.00.00</t>
  </si>
  <si>
    <t xml:space="preserve">(-) Licença-Prêmio Indenizada</t>
  </si>
  <si>
    <t xml:space="preserve">3.1.90.11.48.00.00.00</t>
  </si>
  <si>
    <t xml:space="preserve">(-) Representação Mensal</t>
  </si>
  <si>
    <t xml:space="preserve">3.1.90.11.75.00.00.00</t>
  </si>
  <si>
    <t xml:space="preserve">(-) INSS Sobre Sessão Extraordinária - Agentes Políticos</t>
  </si>
  <si>
    <t xml:space="preserve">3.1.90.13.02.04.00.00</t>
  </si>
  <si>
    <t xml:space="preserve">(-) INSS Sobre Convocação Extraordinária - Agentes Políticos</t>
  </si>
  <si>
    <t xml:space="preserve">3.1.90.13.02.05.00.00</t>
  </si>
  <si>
    <t xml:space="preserve">(-) Convocação Extraordinária</t>
  </si>
  <si>
    <t xml:space="preserve">3.1.90.16.04.00.00.00</t>
  </si>
  <si>
    <t xml:space="preserve">(-) Ajuda de Custo</t>
  </si>
  <si>
    <t xml:space="preserve">3.1.90.16.99.01.00.00</t>
  </si>
  <si>
    <t xml:space="preserve">(-) Remoções</t>
  </si>
  <si>
    <t xml:space="preserve">3.1.90.16.99.02.00.00</t>
  </si>
  <si>
    <t xml:space="preserve">(-) Sessões Extraordinárias</t>
  </si>
  <si>
    <t xml:space="preserve">3.1.90.16.99.03.00.00</t>
  </si>
  <si>
    <t xml:space="preserve">(-) Obrigações Tributárias e Contributivas</t>
  </si>
  <si>
    <t xml:space="preserve">3.1.90.47.00.00.00.00</t>
  </si>
  <si>
    <t xml:space="preserve">(-) Precatórios - Pensionista Civil</t>
  </si>
  <si>
    <t xml:space="preserve">3.1.90.91.36.00.00.00</t>
  </si>
  <si>
    <t xml:space="preserve">(-) Pensionista Civil</t>
  </si>
  <si>
    <t xml:space="preserve">3.1.90.92.12.00.00.00</t>
  </si>
  <si>
    <t xml:space="preserve">(-) Gratificação por Tempo de Serviço - Anuênio - Pensionista Civil</t>
  </si>
  <si>
    <t xml:space="preserve">3.1.90.92.25.00.00.00</t>
  </si>
  <si>
    <t xml:space="preserve">(-) Indenizações e Restituições Trabalhistas</t>
  </si>
  <si>
    <t xml:space="preserve">3.1.90.94.00.00.00.00</t>
  </si>
  <si>
    <t xml:space="preserve">(-) Contribuições Patronais para o RPPS – Pensionista</t>
  </si>
  <si>
    <t xml:space="preserve">3.1.91.13.03.03.00.00</t>
  </si>
  <si>
    <t xml:space="preserve">(-) Plano de Seguridade Social do Servidor - Pessoal Ativo </t>
  </si>
  <si>
    <t xml:space="preserve">3.1.91.13.08.00.00.00</t>
  </si>
  <si>
    <t xml:space="preserve">(-) Plano de Seguridade Social do Servidor - Pessoal Inativo </t>
  </si>
  <si>
    <t xml:space="preserve">3.1.91.13.10.00.00.00</t>
  </si>
  <si>
    <t xml:space="preserve">(-) Plano de Seguridade Social do Pensionista</t>
  </si>
  <si>
    <t xml:space="preserve">3.1.91.13.12.00.00.00</t>
  </si>
  <si>
    <t xml:space="preserve">(-) Amortização do Passivo Atuarial com RPPS - Alíquota Suplementar</t>
  </si>
  <si>
    <t xml:space="preserve">3.1.91.13.99.01.00.00</t>
  </si>
  <si>
    <t xml:space="preserve">(-) IRRF Sobre o Rendimento do Trabalho – Ativos /Inativos do Poder Executivo/Indiretas</t>
  </si>
  <si>
    <t xml:space="preserve">(+) Recursos para Cobertura de Insuficiências Financeiras – Contas Patrimoniais</t>
  </si>
  <si>
    <t xml:space="preserve">3.5.1.3.2.01.01.00.00.00</t>
  </si>
  <si>
    <t xml:space="preserve">(+) Recurso para Cobertura de Déficit Financeiro – Contas Patrimoniais</t>
  </si>
  <si>
    <t xml:space="preserve">3.5.1.3.2.02.01.00.00.00</t>
  </si>
  <si>
    <t xml:space="preserve">(-) Contas de Controle de Consórcios – Saldo Credor ao final de cada bimestre</t>
  </si>
  <si>
    <t xml:space="preserve">8.5.3.2.4.02.00.00.00.00</t>
  </si>
  <si>
    <t xml:space="preserve">CONTRIBUIÇÃO DO SERVIDOR ATIVO CIVIL PARA O REGIME PRÓPRIO</t>
  </si>
  <si>
    <t xml:space="preserve">1.2.1.0.29.07.00.00.00</t>
  </si>
  <si>
    <t xml:space="preserve">CONTRIBUIÇÕES DO SERVIDOR INATIVO CIVIL PARA O REGIME PRÓPRIO</t>
  </si>
  <si>
    <t xml:space="preserve">1.2.1.0.29.09.00.00.00</t>
  </si>
  <si>
    <t xml:space="preserve">CONTRIBUIÇÕES DE PENSIONISTA CIVIL PARA O REGIME PRÓPRIO</t>
  </si>
  <si>
    <t xml:space="preserve">1.2.1.0.29.11.00.00.00</t>
  </si>
  <si>
    <t xml:space="preserve">MULTAS E JUROS DE MORA DAS COMPENSAÇÕES FINANCEIRAS ENTRE O REGIME GERAL E OS REGIMES PRÓPRIOS DE PR</t>
  </si>
  <si>
    <t xml:space="preserve">1.9.1.2.56.00.00.00.00</t>
  </si>
  <si>
    <t xml:space="preserve">MULTAS E JUROS DE MORA DA DÍVIDA ATIVA DAS COMPENSAÇÕES FINANCEIRAS ENTRE O REGIME GERAL E OS REGIME</t>
  </si>
  <si>
    <t xml:space="preserve">1.9.1.5.19.00.00.00.00</t>
  </si>
  <si>
    <t xml:space="preserve">COMPENSAÇÕES FINANCEIRAS ENTRE O REGIME GERAL E OS REGIMES PRÓPRIOS DE PREVIDÊNCIA DOS SERVIDORES</t>
  </si>
  <si>
    <t xml:space="preserve">RECEITA DA DÍVIDA ATIVA DAS COMPENSAÇÕES FINANCEIRAS ENTRE O REGIME GERAL E OS REGIMES PRÓPRIOS DE P</t>
  </si>
  <si>
    <t xml:space="preserve">1.9.3.2.35.00.00.00.00</t>
  </si>
  <si>
    <t xml:space="preserve">(+) Contratos de Terceirização</t>
  </si>
  <si>
    <t xml:space="preserve">3.3.XX.34.00.00.00.00</t>
  </si>
  <si>
    <t xml:space="preserve">(-) Decisão Judicial de período anterior</t>
  </si>
  <si>
    <t xml:space="preserve">3.1.XX.91.00.00.00.00</t>
  </si>
  <si>
    <t xml:space="preserve">(-) Despesas de competência anterior</t>
  </si>
  <si>
    <t xml:space="preserve">3.1.XX.92.00.00.00.00</t>
  </si>
  <si>
    <t xml:space="preserve">(-) Indenização Trabalhista</t>
  </si>
  <si>
    <t xml:space="preserve">3.1.XX.94.00.00.00.00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</si>
</sst>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/YY"/>
    <numFmt numFmtId="166" formatCode="0.00%"/>
    <numFmt numFmtId="167" formatCode="#,##0.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FreeSans"/>
      <family val="2"/>
    </font>
    <font>
      <sz val="10"/>
      <name val="FreeSans"/>
      <family val="2"/>
    </font>
    <font>
      <sz val="10"/>
      <color rgb="FF333333"/>
      <name val="FreeSans"/>
      <family val="2"/>
    </font>
    <font>
      <sz val="10"/>
      <color rgb="FF808080"/>
      <name val="FreeSans"/>
      <family val="2"/>
    </font>
    <font>
      <sz val="10"/>
      <color rgb="FF006600"/>
      <name val="FreeSans"/>
      <family val="2"/>
    </font>
    <font>
      <sz val="10"/>
      <color rgb="FF996600"/>
      <name val="FreeSans"/>
      <family val="2"/>
    </font>
    <font>
      <sz val="10"/>
      <color rgb="FFCC0000"/>
      <name val="FreeSans"/>
      <family val="2"/>
    </font>
    <font>
      <sz val="10"/>
      <color rgb="FFFFFFFF"/>
      <name val="FreeSans"/>
      <family val="2"/>
    </font>
    <font>
      <b val="true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82.4"/>
    <col collapsed="false" customWidth="true" hidden="false" outlineLevel="0" max="2" min="2" style="0" width="21.46"/>
    <col collapsed="false" customWidth="false" hidden="false" outlineLevel="0" max="13" min="3" style="0" width="11.52"/>
    <col collapsed="false" customWidth="true" hidden="false" outlineLevel="0" max="18" min="14" style="0" width="13.14"/>
    <col collapsed="false" customWidth="false" hidden="false" outlineLevel="0" max="1025" min="19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2" t="n">
        <v>42428</v>
      </c>
      <c r="D1" s="2" t="n">
        <v>42460</v>
      </c>
      <c r="E1" s="2" t="n">
        <v>42490</v>
      </c>
      <c r="F1" s="2" t="n">
        <v>42521</v>
      </c>
      <c r="G1" s="2" t="n">
        <v>42551</v>
      </c>
      <c r="H1" s="2" t="n">
        <v>42582</v>
      </c>
      <c r="I1" s="2" t="n">
        <v>42613</v>
      </c>
      <c r="J1" s="2" t="n">
        <v>42643</v>
      </c>
      <c r="K1" s="2" t="n">
        <v>42674</v>
      </c>
      <c r="L1" s="2" t="n">
        <v>42704</v>
      </c>
      <c r="M1" s="2" t="n">
        <v>42735</v>
      </c>
      <c r="N1" s="2" t="n">
        <v>42766</v>
      </c>
      <c r="O1" s="2" t="n">
        <v>42794</v>
      </c>
      <c r="P1" s="2" t="n">
        <v>42825</v>
      </c>
      <c r="Q1" s="2" t="n">
        <v>42855</v>
      </c>
      <c r="R1" s="2" t="n">
        <v>42886</v>
      </c>
    </row>
    <row r="2" s="3" customFormat="true" ht="12.8" hidden="false" customHeight="false" outlineLevel="0" collapsed="false">
      <c r="A2" s="1" t="s">
        <v>2</v>
      </c>
      <c r="B2" s="1"/>
      <c r="N2" s="3" t="n">
        <f aca="false">N4/N3</f>
        <v>0.481369838175336</v>
      </c>
      <c r="O2" s="3" t="n">
        <f aca="false">O4/O3</f>
        <v>0.478882575486184</v>
      </c>
      <c r="P2" s="3" t="n">
        <f aca="false">P4/P3</f>
        <v>0.478611480070309</v>
      </c>
      <c r="Q2" s="3" t="n">
        <f aca="false">Q4/Q3</f>
        <v>0.47706151365459</v>
      </c>
      <c r="R2" s="3" t="n">
        <f aca="false">R4/R3</f>
        <v>0.483555115474156</v>
      </c>
    </row>
    <row r="3" s="4" customFormat="true" ht="12.8" hidden="false" customHeight="false" outlineLevel="0" collapsed="false">
      <c r="A3" s="1" t="s">
        <v>3</v>
      </c>
      <c r="B3" s="1"/>
      <c r="N3" s="4" t="n">
        <f aca="false">SUM(C31:N31)</f>
        <v>18319981.77</v>
      </c>
      <c r="O3" s="4" t="n">
        <f aca="false">SUM(D31:O31)</f>
        <v>18381677.64</v>
      </c>
      <c r="P3" s="4" t="n">
        <f aca="false">SUM(E31:P31)</f>
        <v>18521748.41</v>
      </c>
      <c r="Q3" s="4" t="n">
        <f aca="false">SUM(F31:Q31)</f>
        <v>18676008.24</v>
      </c>
      <c r="R3" s="4" t="n">
        <f aca="false">SUM(G31:R31)</f>
        <v>18524027.61</v>
      </c>
    </row>
    <row r="4" s="4" customFormat="true" ht="12.8" hidden="false" customHeight="false" outlineLevel="0" collapsed="false">
      <c r="A4" s="1" t="s">
        <v>4</v>
      </c>
      <c r="B4" s="1"/>
      <c r="N4" s="4" t="n">
        <f aca="false">SUM(C66:N66)</f>
        <v>8818686.66</v>
      </c>
      <c r="O4" s="4" t="n">
        <f aca="false">SUM(D66:O66)</f>
        <v>8802665.13</v>
      </c>
      <c r="P4" s="4" t="n">
        <f aca="false">SUM(E66:P66)</f>
        <v>8864721.42</v>
      </c>
      <c r="Q4" s="4" t="n">
        <f aca="false">SUM(F66:Q66)</f>
        <v>8909604.76</v>
      </c>
      <c r="R4" s="4" t="n">
        <f aca="false">SUM(G66:R66)</f>
        <v>8957388.31</v>
      </c>
    </row>
    <row r="5" customFormat="false" ht="12.8" hidden="false" customHeight="false" outlineLevel="0" collapsed="false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="5" customFormat="true" ht="12.8" hidden="false" customHeight="false" outlineLevel="0" collapsed="false">
      <c r="A6" s="0" t="s">
        <v>5</v>
      </c>
      <c r="B6" s="0" t="s">
        <v>6</v>
      </c>
      <c r="C6" s="5" t="n">
        <v>1888341.41</v>
      </c>
      <c r="D6" s="5" t="n">
        <v>2020714.25</v>
      </c>
      <c r="E6" s="5" t="n">
        <v>2111521.46</v>
      </c>
      <c r="F6" s="5" t="n">
        <v>2210806.52</v>
      </c>
      <c r="G6" s="5" t="n">
        <v>1869631.35</v>
      </c>
      <c r="H6" s="5" t="n">
        <v>1854871.25</v>
      </c>
      <c r="I6" s="5" t="n">
        <v>1824460.25</v>
      </c>
      <c r="J6" s="5" t="n">
        <v>1605686.32</v>
      </c>
      <c r="K6" s="5" t="n">
        <v>1734366.78</v>
      </c>
      <c r="L6" s="5" t="n">
        <v>2176900.08</v>
      </c>
      <c r="M6" s="5" t="n">
        <v>3237842.84</v>
      </c>
      <c r="N6" s="5" t="n">
        <v>2057852.32</v>
      </c>
      <c r="O6" s="5" t="n">
        <v>2075445.12</v>
      </c>
      <c r="P6" s="5" t="n">
        <v>1923506.53</v>
      </c>
      <c r="Q6" s="5" t="n">
        <v>2020895.99</v>
      </c>
      <c r="R6" s="5" t="n">
        <v>2181027.19</v>
      </c>
    </row>
    <row r="7" s="5" customFormat="true" ht="12.8" hidden="false" customHeight="false" outlineLevel="0" collapsed="false">
      <c r="A7" s="0" t="s">
        <v>7</v>
      </c>
      <c r="B7" s="0" t="s">
        <v>8</v>
      </c>
      <c r="C7" s="5" t="n">
        <v>235567.69</v>
      </c>
      <c r="D7" s="5" t="n">
        <v>229666.97</v>
      </c>
      <c r="E7" s="5" t="n">
        <v>245674.2</v>
      </c>
      <c r="F7" s="5" t="n">
        <v>308383.63</v>
      </c>
      <c r="G7" s="5" t="n">
        <v>214113.46</v>
      </c>
      <c r="H7" s="5" t="n">
        <v>183168.89</v>
      </c>
      <c r="I7" s="5" t="n">
        <v>252119.76</v>
      </c>
      <c r="J7" s="5" t="n">
        <v>174982.96</v>
      </c>
      <c r="K7" s="5" t="n">
        <v>207758.92</v>
      </c>
      <c r="L7" s="5" t="n">
        <v>402297.95</v>
      </c>
      <c r="M7" s="5" t="n">
        <v>358084.82</v>
      </c>
      <c r="N7" s="5" t="n">
        <v>269637</v>
      </c>
      <c r="O7" s="5" t="n">
        <v>235417.7</v>
      </c>
      <c r="P7" s="5" t="n">
        <v>230864.38</v>
      </c>
      <c r="Q7" s="5" t="n">
        <v>309960.74</v>
      </c>
      <c r="R7" s="5" t="n">
        <v>394207.07</v>
      </c>
    </row>
    <row r="8" s="5" customFormat="true" ht="12.8" hidden="false" customHeight="false" outlineLevel="0" collapsed="false">
      <c r="A8" s="0" t="s">
        <v>9</v>
      </c>
      <c r="B8" s="0" t="s">
        <v>10</v>
      </c>
      <c r="C8" s="5" t="n">
        <v>26343.46</v>
      </c>
      <c r="D8" s="5" t="n">
        <v>22415.76</v>
      </c>
      <c r="E8" s="5" t="n">
        <v>22288.74</v>
      </c>
      <c r="F8" s="5" t="n">
        <v>21984.55</v>
      </c>
      <c r="G8" s="5" t="n">
        <v>30146.45</v>
      </c>
      <c r="H8" s="5" t="n">
        <v>24493.39</v>
      </c>
      <c r="I8" s="5" t="n">
        <v>21935.19</v>
      </c>
      <c r="J8" s="5" t="n">
        <v>20091.87</v>
      </c>
      <c r="K8" s="5" t="n">
        <v>21525</v>
      </c>
      <c r="L8" s="5" t="n">
        <v>22057.55</v>
      </c>
      <c r="M8" s="5" t="n">
        <v>55425.42</v>
      </c>
      <c r="N8" s="5" t="n">
        <v>32392.59</v>
      </c>
      <c r="O8" s="5" t="n">
        <v>22161.45</v>
      </c>
      <c r="P8" s="5" t="n">
        <v>24162.43</v>
      </c>
      <c r="Q8" s="5" t="n">
        <v>26176.01</v>
      </c>
      <c r="R8" s="5" t="n">
        <v>24941.18</v>
      </c>
    </row>
    <row r="9" s="5" customFormat="true" ht="12.8" hidden="false" customHeight="false" outlineLevel="0" collapsed="false">
      <c r="A9" s="0" t="s">
        <v>11</v>
      </c>
      <c r="B9" s="0" t="s">
        <v>12</v>
      </c>
      <c r="C9" s="5" t="n">
        <v>1466.33</v>
      </c>
      <c r="D9" s="5" t="n">
        <v>1272.34</v>
      </c>
      <c r="E9" s="5" t="n">
        <v>1272.34</v>
      </c>
      <c r="F9" s="5" t="n">
        <v>1273.78</v>
      </c>
      <c r="G9" s="5" t="n">
        <v>1670.93</v>
      </c>
      <c r="H9" s="5" t="n">
        <v>1458.58</v>
      </c>
      <c r="I9" s="5" t="n">
        <v>1286.3</v>
      </c>
      <c r="J9" s="5" t="n">
        <v>1184.58</v>
      </c>
      <c r="K9" s="5" t="n">
        <v>1173.56</v>
      </c>
      <c r="L9" s="5" t="n">
        <v>1097.33</v>
      </c>
      <c r="M9" s="5" t="n">
        <v>2507.39</v>
      </c>
      <c r="N9" s="5" t="n">
        <v>4902.18</v>
      </c>
      <c r="O9" s="5" t="n">
        <v>5737.02</v>
      </c>
      <c r="P9" s="5" t="n">
        <v>5090.05</v>
      </c>
      <c r="Q9" s="5" t="n">
        <v>4605.94</v>
      </c>
      <c r="R9" s="5" t="n">
        <v>4880.55</v>
      </c>
    </row>
    <row r="10" s="5" customFormat="true" ht="12.8" hidden="false" customHeight="false" outlineLevel="0" collapsed="false">
      <c r="A10" s="0" t="s">
        <v>13</v>
      </c>
      <c r="B10" s="0" t="s">
        <v>14</v>
      </c>
    </row>
    <row r="11" s="5" customFormat="true" ht="12.8" hidden="false" customHeight="false" outlineLevel="0" collapsed="false">
      <c r="A11" s="0" t="s">
        <v>15</v>
      </c>
      <c r="B11" s="0" t="s">
        <v>16</v>
      </c>
    </row>
    <row r="12" s="5" customFormat="true" ht="12.8" hidden="false" customHeight="false" outlineLevel="0" collapsed="false">
      <c r="A12" s="0" t="s">
        <v>17</v>
      </c>
      <c r="B12" s="0" t="s">
        <v>18</v>
      </c>
    </row>
    <row r="13" s="5" customFormat="true" ht="12.8" hidden="false" customHeight="false" outlineLevel="0" collapsed="false">
      <c r="A13" s="0" t="s">
        <v>19</v>
      </c>
      <c r="B13" s="0" t="s">
        <v>20</v>
      </c>
    </row>
    <row r="14" s="5" customFormat="true" ht="12.8" hidden="false" customHeight="false" outlineLevel="0" collapsed="false">
      <c r="A14" s="0" t="s">
        <v>21</v>
      </c>
      <c r="B14" s="0" t="s">
        <v>22</v>
      </c>
      <c r="C14" s="5" t="n">
        <v>58907.16</v>
      </c>
      <c r="D14" s="5" t="n">
        <v>51795.63</v>
      </c>
      <c r="E14" s="5" t="n">
        <v>50454.9</v>
      </c>
      <c r="F14" s="5" t="n">
        <v>50889</v>
      </c>
      <c r="G14" s="5" t="n">
        <v>51080.58</v>
      </c>
      <c r="H14" s="5" t="n">
        <v>52155.46</v>
      </c>
      <c r="I14" s="5" t="n">
        <v>52921.44</v>
      </c>
      <c r="J14" s="5" t="n">
        <v>49980.16</v>
      </c>
      <c r="K14" s="5" t="n">
        <v>49885.88</v>
      </c>
      <c r="L14" s="5" t="n">
        <v>50379.04</v>
      </c>
      <c r="M14" s="5" t="n">
        <v>150878</v>
      </c>
      <c r="O14" s="5" t="n">
        <v>62131.75</v>
      </c>
      <c r="P14" s="5" t="n">
        <v>52958.68</v>
      </c>
      <c r="Q14" s="5" t="n">
        <v>52412.08</v>
      </c>
      <c r="R14" s="5" t="n">
        <v>53963.5</v>
      </c>
    </row>
    <row r="15" s="5" customFormat="true" ht="12.8" hidden="false" customHeight="false" outlineLevel="0" collapsed="false">
      <c r="A15" s="0" t="s">
        <v>23</v>
      </c>
      <c r="B15" s="0" t="s">
        <v>24</v>
      </c>
    </row>
    <row r="16" s="5" customFormat="true" ht="12.8" hidden="false" customHeight="false" outlineLevel="0" collapsed="false">
      <c r="A16" s="0" t="s">
        <v>25</v>
      </c>
      <c r="B16" s="0" t="s">
        <v>26</v>
      </c>
      <c r="C16" s="5" t="n">
        <v>240793.56</v>
      </c>
      <c r="D16" s="5" t="n">
        <v>448116.08</v>
      </c>
      <c r="E16" s="5" t="n">
        <v>361132.8</v>
      </c>
      <c r="F16" s="5" t="n">
        <v>75517.5</v>
      </c>
      <c r="G16" s="5" t="n">
        <v>192062.71</v>
      </c>
      <c r="H16" s="5" t="n">
        <v>258493.26</v>
      </c>
      <c r="I16" s="5" t="n">
        <v>180370.06</v>
      </c>
      <c r="J16" s="5" t="n">
        <v>188469.99</v>
      </c>
      <c r="K16" s="5" t="n">
        <v>110196.01</v>
      </c>
      <c r="L16" s="5" t="n">
        <v>70281.36</v>
      </c>
      <c r="M16" s="5" t="n">
        <v>293468.23</v>
      </c>
      <c r="N16" s="5" t="n">
        <v>239202.37</v>
      </c>
      <c r="O16" s="5" t="n">
        <v>389497.95</v>
      </c>
      <c r="P16" s="5" t="n">
        <v>166518.71</v>
      </c>
      <c r="Q16" s="5" t="n">
        <v>67259.44</v>
      </c>
      <c r="R16" s="5" t="n">
        <v>68789.05</v>
      </c>
    </row>
    <row r="17" s="5" customFormat="true" ht="12.8" hidden="false" customHeight="false" outlineLevel="0" collapsed="false">
      <c r="A17" s="0" t="s">
        <v>27</v>
      </c>
      <c r="B17" s="0" t="s">
        <v>28</v>
      </c>
    </row>
    <row r="18" s="5" customFormat="true" ht="12.8" hidden="false" customHeight="false" outlineLevel="0" collapsed="false">
      <c r="A18" s="0" t="s">
        <v>29</v>
      </c>
      <c r="B18" s="0" t="s">
        <v>30</v>
      </c>
    </row>
    <row r="19" s="5" customFormat="true" ht="12.8" hidden="false" customHeight="false" outlineLevel="0" collapsed="false">
      <c r="A19" s="0" t="s">
        <v>31</v>
      </c>
      <c r="B19" s="0" t="s">
        <v>32</v>
      </c>
    </row>
    <row r="20" s="5" customFormat="true" ht="12.8" hidden="false" customHeight="false" outlineLevel="0" collapsed="false">
      <c r="A20" s="0" t="s">
        <v>33</v>
      </c>
      <c r="B20" s="0" t="s">
        <v>34</v>
      </c>
    </row>
    <row r="21" s="5" customFormat="true" ht="12.8" hidden="false" customHeight="false" outlineLevel="0" collapsed="false">
      <c r="A21" s="0" t="s">
        <v>35</v>
      </c>
      <c r="B21" s="0" t="s">
        <v>36</v>
      </c>
    </row>
    <row r="22" s="5" customFormat="true" ht="12.8" hidden="false" customHeight="false" outlineLevel="0" collapsed="false">
      <c r="A22" s="0" t="s">
        <v>37</v>
      </c>
      <c r="B22" s="0" t="s">
        <v>38</v>
      </c>
    </row>
    <row r="23" s="5" customFormat="true" ht="12.8" hidden="false" customHeight="false" outlineLevel="0" collapsed="false">
      <c r="A23" s="0" t="s">
        <v>39</v>
      </c>
      <c r="B23" s="0" t="s">
        <v>40</v>
      </c>
    </row>
    <row r="24" s="5" customFormat="true" ht="12.8" hidden="false" customHeight="false" outlineLevel="0" collapsed="false">
      <c r="A24" s="0" t="s">
        <v>41</v>
      </c>
      <c r="B24" s="0" t="s">
        <v>42</v>
      </c>
    </row>
    <row r="25" s="5" customFormat="true" ht="12.8" hidden="false" customHeight="false" outlineLevel="0" collapsed="false">
      <c r="A25" s="0" t="s">
        <v>43</v>
      </c>
      <c r="B25" s="0" t="s">
        <v>44</v>
      </c>
    </row>
    <row r="26" s="5" customFormat="true" ht="12.8" hidden="false" customHeight="false" outlineLevel="0" collapsed="false">
      <c r="A26" s="0" t="s">
        <v>45</v>
      </c>
      <c r="B26" s="0" t="s">
        <v>46</v>
      </c>
    </row>
    <row r="27" s="5" customFormat="true" ht="12.8" hidden="false" customHeight="false" outlineLevel="0" collapsed="false">
      <c r="A27" s="0" t="s">
        <v>47</v>
      </c>
      <c r="B27" s="0" t="s">
        <v>48</v>
      </c>
    </row>
    <row r="28" s="5" customFormat="true" ht="12.8" hidden="false" customHeight="false" outlineLevel="0" collapsed="false">
      <c r="A28" s="0" t="s">
        <v>49</v>
      </c>
      <c r="B28" s="0" t="s">
        <v>50</v>
      </c>
    </row>
    <row r="29" s="5" customFormat="true" ht="12.8" hidden="false" customHeight="false" outlineLevel="0" collapsed="false">
      <c r="A29" s="0" t="s">
        <v>51</v>
      </c>
      <c r="B29" s="0" t="s">
        <v>52</v>
      </c>
      <c r="C29" s="5" t="n">
        <v>183160.66</v>
      </c>
      <c r="D29" s="5" t="n">
        <v>200576.39</v>
      </c>
      <c r="E29" s="5" t="n">
        <v>223004.65</v>
      </c>
      <c r="F29" s="5" t="n">
        <v>209875.56</v>
      </c>
      <c r="G29" s="5" t="n">
        <v>179120.48</v>
      </c>
      <c r="H29" s="5" t="n">
        <v>174079.71</v>
      </c>
      <c r="I29" s="5" t="n">
        <v>183368.36</v>
      </c>
      <c r="J29" s="5" t="n">
        <v>177478.68</v>
      </c>
      <c r="K29" s="5" t="n">
        <v>184351.62</v>
      </c>
      <c r="L29" s="5" t="n">
        <v>209954.37</v>
      </c>
      <c r="M29" s="5" t="n">
        <v>236436.54</v>
      </c>
      <c r="N29" s="5" t="n">
        <v>257487.13</v>
      </c>
      <c r="O29" s="5" t="n">
        <v>158493.08</v>
      </c>
      <c r="P29" s="5" t="n">
        <v>237634.22</v>
      </c>
      <c r="Q29" s="5" t="n">
        <v>223763.6</v>
      </c>
      <c r="R29" s="5" t="n">
        <v>235991.32</v>
      </c>
    </row>
    <row r="30" s="5" customFormat="true" ht="12.8" hidden="false" customHeight="false" outlineLevel="0" collapsed="false">
      <c r="A30" s="0" t="s">
        <v>53</v>
      </c>
      <c r="B30" s="0" t="s">
        <v>8</v>
      </c>
      <c r="C30" s="5" t="n">
        <f aca="false">233542.69-108.74</f>
        <v>233433.95</v>
      </c>
      <c r="D30" s="5" t="n">
        <v>218784.62</v>
      </c>
      <c r="E30" s="5" t="n">
        <v>240276.24</v>
      </c>
      <c r="F30" s="5" t="n">
        <v>281790.04</v>
      </c>
      <c r="G30" s="5" t="n">
        <v>191710.22</v>
      </c>
      <c r="H30" s="5" t="n">
        <v>183168.89</v>
      </c>
      <c r="I30" s="5" t="n">
        <v>225916.26</v>
      </c>
      <c r="J30" s="5" t="n">
        <v>174982.96</v>
      </c>
      <c r="K30" s="5" t="n">
        <v>207758.92</v>
      </c>
      <c r="L30" s="5" t="n">
        <v>311141.1</v>
      </c>
      <c r="M30" s="5" t="n">
        <v>358084.82</v>
      </c>
      <c r="N30" s="5" t="n">
        <v>269386.11</v>
      </c>
      <c r="O30" s="5" t="n">
        <v>235226.2</v>
      </c>
      <c r="P30" s="5" t="n">
        <v>219448.41</v>
      </c>
      <c r="Q30" s="5" t="n">
        <v>265511.72</v>
      </c>
      <c r="R30" s="5" t="n">
        <v>274437.39</v>
      </c>
    </row>
    <row r="31" s="5" customFormat="true" ht="12.8" hidden="false" customHeight="false" outlineLevel="0" collapsed="false">
      <c r="A31" s="0" t="s">
        <v>3</v>
      </c>
      <c r="B31" s="0"/>
      <c r="C31" s="5" t="n">
        <f aca="false">C6-C7-C8-C9-C10-C11-C12-C13-C14-C15-C16-C17-C18-C19-C21-C22+C23+C24-C25-C26-C27-C28-C29+C30</f>
        <v>1375536.5</v>
      </c>
      <c r="D31" s="5" t="n">
        <f aca="false">D6-D7-D8-D9-D10-D11-D12-D13-D14-D15-D16-D17-D18-D19-D21-D22+D23+D24-D25-D26-D27-D28-D29+D30</f>
        <v>1285655.7</v>
      </c>
      <c r="E31" s="5" t="n">
        <f aca="false">E6-E7-E8-E9-E10-E11-E12-E13-E14-E15-E16-E17-E18-E19-E21-E22+E23+E24-E25-E26-E27-E28-E29+E30</f>
        <v>1447970.07</v>
      </c>
      <c r="F31" s="5" t="n">
        <f aca="false">F6-F7-F8-F9-F10-F11-F12-F13-F14-F15-F16-F17-F18-F19-F21-F22+F23+F24-F25-F26-F27-F28-F29+F30</f>
        <v>1824672.54</v>
      </c>
      <c r="G31" s="5" t="n">
        <f aca="false">G6-G7-G8-G9-G10-G11-G12-G13-G14-G15-G16-G17-G18-G19-G21-G22+G23+G24-G25-G26-G27-G28-G29+G30</f>
        <v>1393146.96</v>
      </c>
      <c r="H31" s="5" t="n">
        <f aca="false">H6-H7-H8-H9-H10-H11-H12-H13-H14-H15-H16-H17-H18-H19-H21-H22+H23+H24-H25-H26-H27-H28-H29+H30</f>
        <v>1344190.85</v>
      </c>
      <c r="I31" s="5" t="n">
        <f aca="false">I6-I7-I8-I9-I10-I11-I12-I13-I14-I15-I16-I17-I18-I19-I21-I22+I23+I24-I25-I26-I27-I28-I29+I30</f>
        <v>1358375.4</v>
      </c>
      <c r="J31" s="5" t="n">
        <f aca="false">J6-J7-J8-J9-J10-J11-J12-J13-J14-J15-J16-J17-J18-J19-J21-J22+J23+J24-J25-J26-J27-J28-J29+J30</f>
        <v>1168481.04</v>
      </c>
      <c r="K31" s="5" t="n">
        <f aca="false">K6-K7-K8-K9-K10-K11-K12-K13-K14-K15-K16-K17-K18-K19-K21-K22+K23+K24-K25-K26-K27-K28-K29+K30</f>
        <v>1367234.71</v>
      </c>
      <c r="L31" s="5" t="n">
        <f aca="false">L6-L7-L8-L9-L10-L11-L12-L13-L14-L15-L16-L17-L18-L19-L21-L22+L23+L24-L25-L26-L27-L28-L29+L30</f>
        <v>1731973.58</v>
      </c>
      <c r="M31" s="5" t="n">
        <f aca="false">M6-M7-M8-M9-M10-M11-M12-M13-M14-M15-M16-M17-M18-M19-M21-M22+M23+M24-M25-M26-M27-M28-M29+M30</f>
        <v>2499127.26</v>
      </c>
      <c r="N31" s="5" t="n">
        <f aca="false">N6-N7-N8-N9-N10-N11-N12-N13-N14-N15-N16-N17-N18-N19-N21-N22+N23+N24-N25-N26-N27-N28-N29+N30</f>
        <v>1523617.16</v>
      </c>
      <c r="O31" s="5" t="n">
        <f aca="false">O6-O7-O8-O9-O10-O11-O12-O13-O14-O15-O16-O17-O18-O19-O21-O22+O23+O24-O25-O26-O27-O28-O29+O30</f>
        <v>1437232.37</v>
      </c>
      <c r="P31" s="5" t="n">
        <f aca="false">P6-P7-P8-P9-P10-P11-P12-P13-P14-P15-P16-P17-P18-P19-P21-P22+P23+P24-P25-P26-P27-P28-P29+P30</f>
        <v>1425726.47</v>
      </c>
      <c r="Q31" s="5" t="n">
        <f aca="false">Q6-Q7-Q8-Q9-Q10-Q11-Q12-Q13-Q14-Q15-Q16-Q17-Q18-Q19-Q21-Q22+Q23+Q24-Q25-Q26-Q27-Q28-Q29+Q30</f>
        <v>1602229.9</v>
      </c>
      <c r="R31" s="5" t="n">
        <f aca="false">R6-R7-R8-R9-R10-R11-R12-R13-R14-R15-R16-R17-R18-R19-R21-R22+R23+R24-R25-R26-R27-R28-R29+R30</f>
        <v>1672691.91</v>
      </c>
    </row>
    <row r="33" s="5" customFormat="true" ht="12.8" hidden="false" customHeight="false" outlineLevel="0" collapsed="false">
      <c r="A33" s="0" t="s">
        <v>54</v>
      </c>
      <c r="B33" s="0" t="s">
        <v>55</v>
      </c>
      <c r="C33" s="5" t="n">
        <v>941958.32</v>
      </c>
      <c r="D33" s="5" t="n">
        <v>886171.77</v>
      </c>
      <c r="E33" s="5" t="n">
        <v>918230.04</v>
      </c>
      <c r="F33" s="5" t="n">
        <v>898260.19</v>
      </c>
      <c r="G33" s="5" t="n">
        <v>956724.37</v>
      </c>
      <c r="H33" s="5" t="n">
        <v>939481.07</v>
      </c>
      <c r="I33" s="5" t="n">
        <v>896084.58</v>
      </c>
      <c r="J33" s="5" t="n">
        <v>886644.39</v>
      </c>
      <c r="K33" s="5" t="n">
        <v>893153.53</v>
      </c>
      <c r="L33" s="5" t="n">
        <v>905781.73</v>
      </c>
      <c r="M33" s="5" t="n">
        <v>1858460.6</v>
      </c>
      <c r="N33" s="5" t="n">
        <v>1025828.63</v>
      </c>
      <c r="O33" s="5" t="n">
        <v>934960.01</v>
      </c>
      <c r="P33" s="5" t="n">
        <v>970645.32</v>
      </c>
      <c r="Q33" s="5" t="n">
        <v>1020434.27</v>
      </c>
      <c r="R33" s="5" t="n">
        <v>988723.72</v>
      </c>
    </row>
    <row r="34" s="5" customFormat="true" ht="12.8" hidden="false" customHeight="false" outlineLevel="0" collapsed="false">
      <c r="A34" s="0" t="s">
        <v>56</v>
      </c>
      <c r="B34" s="0" t="s">
        <v>57</v>
      </c>
      <c r="C34" s="5" t="n">
        <v>81897.21</v>
      </c>
      <c r="D34" s="5" t="n">
        <v>79860.1</v>
      </c>
      <c r="E34" s="5" t="n">
        <v>79860.1</v>
      </c>
      <c r="F34" s="5" t="n">
        <v>79860.1</v>
      </c>
      <c r="G34" s="5" t="n">
        <v>79860.1</v>
      </c>
      <c r="H34" s="5" t="n">
        <v>80625.97</v>
      </c>
      <c r="I34" s="5" t="n">
        <v>78832.16</v>
      </c>
      <c r="J34" s="5" t="n">
        <v>78540.98</v>
      </c>
      <c r="K34" s="5" t="n">
        <v>75799.76</v>
      </c>
      <c r="L34" s="5" t="n">
        <v>75799.76</v>
      </c>
      <c r="M34" s="5" t="n">
        <v>152213.67</v>
      </c>
      <c r="N34" s="5" t="n">
        <v>82824.31</v>
      </c>
      <c r="O34" s="5" t="n">
        <v>82824.31</v>
      </c>
      <c r="P34" s="5" t="n">
        <v>82202.87</v>
      </c>
      <c r="Q34" s="5" t="n">
        <v>86124.51</v>
      </c>
      <c r="R34" s="5" t="n">
        <v>88692.86</v>
      </c>
    </row>
    <row r="35" s="5" customFormat="true" ht="12.8" hidden="false" customHeight="false" outlineLevel="0" collapsed="false">
      <c r="A35" s="0" t="s">
        <v>58</v>
      </c>
      <c r="B35" s="0" t="s">
        <v>59</v>
      </c>
      <c r="C35" s="5" t="n">
        <v>30454.21</v>
      </c>
      <c r="D35" s="5" t="n">
        <v>30334.38</v>
      </c>
      <c r="E35" s="5" t="n">
        <v>30334.38</v>
      </c>
      <c r="F35" s="5" t="n">
        <v>30334.38</v>
      </c>
      <c r="G35" s="5" t="n">
        <v>30744.31</v>
      </c>
      <c r="H35" s="5" t="n">
        <v>37678.09</v>
      </c>
      <c r="I35" s="5" t="n">
        <v>40827.04</v>
      </c>
      <c r="J35" s="5" t="n">
        <v>41332.78</v>
      </c>
      <c r="K35" s="5" t="n">
        <v>42512.54</v>
      </c>
      <c r="L35" s="5" t="n">
        <v>42512.54</v>
      </c>
      <c r="M35" s="5" t="n">
        <v>77974.78</v>
      </c>
      <c r="N35" s="5" t="n">
        <v>45263.16</v>
      </c>
      <c r="O35" s="5" t="n">
        <v>45263.16</v>
      </c>
      <c r="P35" s="5" t="n">
        <v>43405.23</v>
      </c>
      <c r="Q35" s="5" t="n">
        <v>42823.47</v>
      </c>
      <c r="R35" s="5" t="n">
        <v>42823.47</v>
      </c>
    </row>
    <row r="36" s="5" customFormat="true" ht="12.8" hidden="false" customHeight="false" outlineLevel="0" collapsed="false">
      <c r="A36" s="0" t="s">
        <v>60</v>
      </c>
      <c r="B36" s="0" t="s">
        <v>61</v>
      </c>
      <c r="C36" s="5" t="n">
        <v>38302.58</v>
      </c>
      <c r="D36" s="5" t="n">
        <v>29505</v>
      </c>
      <c r="E36" s="5" t="n">
        <v>25412.26</v>
      </c>
      <c r="F36" s="5" t="n">
        <v>29697.23</v>
      </c>
      <c r="G36" s="5" t="n">
        <v>32661</v>
      </c>
      <c r="H36" s="5" t="n">
        <v>42799.24</v>
      </c>
      <c r="I36" s="5" t="n">
        <v>39709.75</v>
      </c>
      <c r="J36" s="5" t="n">
        <v>39633.27</v>
      </c>
      <c r="K36" s="5" t="n">
        <v>37058.53</v>
      </c>
      <c r="L36" s="5" t="n">
        <v>39182.34</v>
      </c>
      <c r="M36" s="5" t="n">
        <v>77667.85</v>
      </c>
      <c r="N36" s="5" t="n">
        <v>38181.62</v>
      </c>
      <c r="O36" s="5" t="n">
        <v>30263.69</v>
      </c>
      <c r="P36" s="5" t="n">
        <v>37743.1</v>
      </c>
      <c r="Q36" s="5" t="n">
        <v>37630.52</v>
      </c>
      <c r="R36" s="5" t="n">
        <v>41529.22</v>
      </c>
    </row>
    <row r="37" s="5" customFormat="true" ht="12.8" hidden="false" customHeight="false" outlineLevel="0" collapsed="false">
      <c r="A37" s="0" t="s">
        <v>62</v>
      </c>
      <c r="B37" s="0" t="s">
        <v>63</v>
      </c>
    </row>
    <row r="38" s="5" customFormat="true" ht="12.8" hidden="false" customHeight="false" outlineLevel="0" collapsed="false">
      <c r="A38" s="0" t="s">
        <v>64</v>
      </c>
      <c r="B38" s="0" t="s">
        <v>65</v>
      </c>
    </row>
    <row r="39" s="5" customFormat="true" ht="12.8" hidden="false" customHeight="false" outlineLevel="0" collapsed="false">
      <c r="A39" s="0" t="s">
        <v>66</v>
      </c>
      <c r="B39" s="0" t="s">
        <v>67</v>
      </c>
    </row>
    <row r="40" s="5" customFormat="true" ht="12.8" hidden="false" customHeight="false" outlineLevel="0" collapsed="false">
      <c r="A40" s="0" t="s">
        <v>68</v>
      </c>
      <c r="B40" s="0" t="s">
        <v>69</v>
      </c>
    </row>
    <row r="41" s="5" customFormat="true" ht="12.8" hidden="false" customHeight="false" outlineLevel="0" collapsed="false">
      <c r="A41" s="0" t="s">
        <v>70</v>
      </c>
      <c r="B41" s="0" t="s">
        <v>71</v>
      </c>
    </row>
    <row r="42" s="5" customFormat="true" ht="12.8" hidden="false" customHeight="false" outlineLevel="0" collapsed="false">
      <c r="A42" s="0" t="s">
        <v>72</v>
      </c>
      <c r="B42" s="0" t="s">
        <v>73</v>
      </c>
    </row>
    <row r="43" s="5" customFormat="true" ht="12.8" hidden="false" customHeight="false" outlineLevel="0" collapsed="false">
      <c r="A43" s="0" t="s">
        <v>74</v>
      </c>
      <c r="B43" s="0" t="s">
        <v>75</v>
      </c>
    </row>
    <row r="44" s="5" customFormat="true" ht="12.8" hidden="false" customHeight="false" outlineLevel="0" collapsed="false">
      <c r="A44" s="0" t="s">
        <v>76</v>
      </c>
      <c r="B44" s="0" t="s">
        <v>77</v>
      </c>
    </row>
    <row r="45" s="5" customFormat="true" ht="12.8" hidden="false" customHeight="false" outlineLevel="0" collapsed="false">
      <c r="A45" s="0" t="s">
        <v>78</v>
      </c>
      <c r="B45" s="0" t="s">
        <v>79</v>
      </c>
    </row>
    <row r="46" s="5" customFormat="true" ht="12.8" hidden="false" customHeight="false" outlineLevel="0" collapsed="false">
      <c r="A46" s="0" t="s">
        <v>80</v>
      </c>
      <c r="B46" s="0" t="s">
        <v>81</v>
      </c>
    </row>
    <row r="47" s="5" customFormat="true" ht="12.8" hidden="false" customHeight="false" outlineLevel="0" collapsed="false">
      <c r="A47" s="0" t="s">
        <v>82</v>
      </c>
      <c r="B47" s="0" t="s">
        <v>83</v>
      </c>
    </row>
    <row r="48" s="5" customFormat="true" ht="12.8" hidden="false" customHeight="false" outlineLevel="0" collapsed="false">
      <c r="A48" s="0" t="s">
        <v>84</v>
      </c>
      <c r="B48" s="0" t="s">
        <v>85</v>
      </c>
    </row>
    <row r="49" s="5" customFormat="true" ht="12.8" hidden="false" customHeight="false" outlineLevel="0" collapsed="false">
      <c r="A49" s="0" t="s">
        <v>86</v>
      </c>
      <c r="B49" s="0" t="s">
        <v>87</v>
      </c>
    </row>
    <row r="50" s="5" customFormat="true" ht="12.8" hidden="false" customHeight="false" outlineLevel="0" collapsed="false">
      <c r="A50" s="0" t="s">
        <v>88</v>
      </c>
      <c r="B50" s="0" t="s">
        <v>89</v>
      </c>
    </row>
    <row r="51" s="5" customFormat="true" ht="12.8" hidden="false" customHeight="false" outlineLevel="0" collapsed="false">
      <c r="A51" s="0" t="s">
        <v>90</v>
      </c>
      <c r="B51" s="0" t="s">
        <v>91</v>
      </c>
    </row>
    <row r="52" s="5" customFormat="true" ht="12.8" hidden="false" customHeight="false" outlineLevel="0" collapsed="false">
      <c r="A52" s="0" t="s">
        <v>92</v>
      </c>
      <c r="B52" s="0" t="s">
        <v>93</v>
      </c>
    </row>
    <row r="53" s="5" customFormat="true" ht="12.8" hidden="false" customHeight="false" outlineLevel="0" collapsed="false">
      <c r="A53" s="0" t="s">
        <v>94</v>
      </c>
      <c r="B53" s="0" t="s">
        <v>95</v>
      </c>
      <c r="Q53" s="5" t="n">
        <v>14248</v>
      </c>
      <c r="R53" s="5" t="n">
        <v>0</v>
      </c>
    </row>
    <row r="54" s="5" customFormat="true" ht="12.8" hidden="false" customHeight="false" outlineLevel="0" collapsed="false">
      <c r="A54" s="0" t="s">
        <v>96</v>
      </c>
      <c r="B54" s="0" t="s">
        <v>97</v>
      </c>
    </row>
    <row r="55" s="5" customFormat="true" ht="12.8" hidden="false" customHeight="false" outlineLevel="0" collapsed="false">
      <c r="A55" s="0" t="s">
        <v>98</v>
      </c>
      <c r="B55" s="0" t="s">
        <v>99</v>
      </c>
    </row>
    <row r="56" s="5" customFormat="true" ht="12.8" hidden="false" customHeight="false" outlineLevel="0" collapsed="false">
      <c r="A56" s="0" t="s">
        <v>100</v>
      </c>
      <c r="B56" s="0" t="s">
        <v>101</v>
      </c>
    </row>
    <row r="57" s="5" customFormat="true" ht="12.8" hidden="false" customHeight="false" outlineLevel="0" collapsed="false">
      <c r="A57" s="0" t="s">
        <v>102</v>
      </c>
      <c r="B57" s="0" t="s">
        <v>103</v>
      </c>
    </row>
    <row r="58" s="5" customFormat="true" ht="12.8" hidden="false" customHeight="false" outlineLevel="0" collapsed="false">
      <c r="A58" s="0" t="s">
        <v>104</v>
      </c>
      <c r="B58" s="0" t="s">
        <v>105</v>
      </c>
      <c r="C58" s="5" t="n">
        <v>67893.06</v>
      </c>
      <c r="D58" s="5" t="n">
        <v>66424.54</v>
      </c>
      <c r="E58" s="5" t="n">
        <v>66845.63</v>
      </c>
      <c r="F58" s="5" t="n">
        <v>66838.83</v>
      </c>
      <c r="G58" s="5" t="n">
        <v>68518.53</v>
      </c>
      <c r="H58" s="5" t="n">
        <v>69398.32</v>
      </c>
      <c r="I58" s="5" t="n">
        <v>65516.02</v>
      </c>
      <c r="J58" s="5" t="n">
        <v>65341.5</v>
      </c>
      <c r="K58" s="5" t="n">
        <v>65966.65</v>
      </c>
      <c r="L58" s="5" t="n">
        <v>65653.96</v>
      </c>
      <c r="M58" s="5" t="n">
        <v>131290.84</v>
      </c>
      <c r="N58" s="5" t="n">
        <v>87004.06</v>
      </c>
      <c r="O58" s="5" t="n">
        <v>73401.13</v>
      </c>
      <c r="P58" s="5" t="n">
        <v>63443.41</v>
      </c>
      <c r="Q58" s="5" t="n">
        <v>75059.49</v>
      </c>
      <c r="R58" s="5" t="n">
        <v>73408.34</v>
      </c>
    </row>
    <row r="59" s="5" customFormat="true" ht="12.8" hidden="false" customHeight="false" outlineLevel="0" collapsed="false">
      <c r="A59" s="0" t="s">
        <v>106</v>
      </c>
      <c r="B59" s="0" t="s">
        <v>10</v>
      </c>
      <c r="C59" s="5" t="n">
        <f aca="false">C8</f>
        <v>26343.46</v>
      </c>
      <c r="D59" s="5" t="n">
        <f aca="false">D8</f>
        <v>22415.76</v>
      </c>
      <c r="E59" s="5" t="n">
        <f aca="false">E8</f>
        <v>22288.74</v>
      </c>
      <c r="F59" s="5" t="n">
        <f aca="false">F8</f>
        <v>21984.55</v>
      </c>
      <c r="G59" s="5" t="n">
        <f aca="false">G8</f>
        <v>30146.45</v>
      </c>
      <c r="H59" s="5" t="n">
        <f aca="false">H8</f>
        <v>24493.39</v>
      </c>
      <c r="I59" s="5" t="n">
        <f aca="false">I8</f>
        <v>21935.19</v>
      </c>
      <c r="J59" s="5" t="n">
        <f aca="false">J8</f>
        <v>20091.87</v>
      </c>
      <c r="K59" s="5" t="n">
        <f aca="false">K8</f>
        <v>21525</v>
      </c>
      <c r="L59" s="5" t="n">
        <f aca="false">L8</f>
        <v>22057.55</v>
      </c>
      <c r="M59" s="5" t="n">
        <f aca="false">M8</f>
        <v>55425.42</v>
      </c>
      <c r="N59" s="5" t="n">
        <f aca="false">N8</f>
        <v>32392.59</v>
      </c>
      <c r="O59" s="5" t="n">
        <f aca="false">O8</f>
        <v>22161.45</v>
      </c>
      <c r="P59" s="5" t="n">
        <f aca="false">P8</f>
        <v>24162.43</v>
      </c>
      <c r="Q59" s="5" t="n">
        <f aca="false">Q8</f>
        <v>26176.01</v>
      </c>
      <c r="R59" s="5" t="n">
        <f aca="false">R8</f>
        <v>24941.18</v>
      </c>
    </row>
    <row r="60" s="5" customFormat="true" ht="12.8" hidden="false" customHeight="false" outlineLevel="0" collapsed="false">
      <c r="A60" s="0" t="s">
        <v>13</v>
      </c>
      <c r="B60" s="0" t="s">
        <v>14</v>
      </c>
      <c r="C60" s="5" t="n">
        <f aca="false">C10</f>
        <v>0</v>
      </c>
      <c r="D60" s="5" t="n">
        <f aca="false">D10</f>
        <v>0</v>
      </c>
      <c r="E60" s="5" t="n">
        <f aca="false">E10</f>
        <v>0</v>
      </c>
      <c r="F60" s="5" t="n">
        <f aca="false">F10</f>
        <v>0</v>
      </c>
      <c r="G60" s="5" t="n">
        <f aca="false">G10</f>
        <v>0</v>
      </c>
      <c r="H60" s="5" t="n">
        <f aca="false">H10</f>
        <v>0</v>
      </c>
      <c r="I60" s="5" t="n">
        <f aca="false">I10</f>
        <v>0</v>
      </c>
      <c r="J60" s="5" t="n">
        <f aca="false">J10</f>
        <v>0</v>
      </c>
      <c r="K60" s="5" t="n">
        <f aca="false">K10</f>
        <v>0</v>
      </c>
      <c r="L60" s="5" t="n">
        <f aca="false">L10</f>
        <v>0</v>
      </c>
      <c r="M60" s="5" t="n">
        <f aca="false">M10</f>
        <v>0</v>
      </c>
      <c r="N60" s="5" t="n">
        <f aca="false">N10</f>
        <v>0</v>
      </c>
      <c r="O60" s="5" t="n">
        <f aca="false">O10</f>
        <v>0</v>
      </c>
      <c r="P60" s="5" t="n">
        <f aca="false">P10</f>
        <v>0</v>
      </c>
      <c r="Q60" s="5" t="n">
        <f aca="false">Q10</f>
        <v>0</v>
      </c>
      <c r="R60" s="5" t="n">
        <f aca="false">R10</f>
        <v>0</v>
      </c>
    </row>
    <row r="61" s="5" customFormat="true" ht="12.8" hidden="false" customHeight="false" outlineLevel="0" collapsed="false">
      <c r="A61" s="0" t="s">
        <v>15</v>
      </c>
      <c r="B61" s="0" t="s">
        <v>16</v>
      </c>
      <c r="C61" s="5" t="n">
        <f aca="false">C11</f>
        <v>0</v>
      </c>
      <c r="D61" s="5" t="n">
        <f aca="false">D11</f>
        <v>0</v>
      </c>
      <c r="E61" s="5" t="n">
        <f aca="false">E11</f>
        <v>0</v>
      </c>
      <c r="F61" s="5" t="n">
        <f aca="false">F11</f>
        <v>0</v>
      </c>
      <c r="G61" s="5" t="n">
        <f aca="false">G11</f>
        <v>0</v>
      </c>
      <c r="H61" s="5" t="n">
        <f aca="false">H11</f>
        <v>0</v>
      </c>
      <c r="I61" s="5" t="n">
        <f aca="false">I11</f>
        <v>0</v>
      </c>
      <c r="J61" s="5" t="n">
        <f aca="false">J11</f>
        <v>0</v>
      </c>
      <c r="K61" s="5" t="n">
        <f aca="false">K11</f>
        <v>0</v>
      </c>
      <c r="L61" s="5" t="n">
        <f aca="false">L11</f>
        <v>0</v>
      </c>
      <c r="M61" s="5" t="n">
        <f aca="false">M11</f>
        <v>0</v>
      </c>
      <c r="N61" s="5" t="n">
        <f aca="false">N11</f>
        <v>0</v>
      </c>
      <c r="O61" s="5" t="n">
        <f aca="false">O11</f>
        <v>0</v>
      </c>
      <c r="P61" s="5" t="n">
        <f aca="false">P11</f>
        <v>0</v>
      </c>
      <c r="Q61" s="5" t="n">
        <f aca="false">Q11</f>
        <v>0</v>
      </c>
      <c r="R61" s="5" t="n">
        <f aca="false">R11</f>
        <v>0</v>
      </c>
    </row>
    <row r="62" s="5" customFormat="true" ht="12.8" hidden="false" customHeight="false" outlineLevel="0" collapsed="false">
      <c r="A62" s="0" t="s">
        <v>17</v>
      </c>
      <c r="B62" s="0" t="s">
        <v>18</v>
      </c>
      <c r="C62" s="5" t="n">
        <f aca="false">C12</f>
        <v>0</v>
      </c>
      <c r="D62" s="5" t="n">
        <f aca="false">D12</f>
        <v>0</v>
      </c>
      <c r="E62" s="5" t="n">
        <f aca="false">E12</f>
        <v>0</v>
      </c>
      <c r="F62" s="5" t="n">
        <f aca="false">F12</f>
        <v>0</v>
      </c>
      <c r="G62" s="5" t="n">
        <f aca="false">G12</f>
        <v>0</v>
      </c>
      <c r="H62" s="5" t="n">
        <f aca="false">H12</f>
        <v>0</v>
      </c>
      <c r="I62" s="5" t="n">
        <f aca="false">I12</f>
        <v>0</v>
      </c>
      <c r="J62" s="5" t="n">
        <f aca="false">J12</f>
        <v>0</v>
      </c>
      <c r="K62" s="5" t="n">
        <f aca="false">K12</f>
        <v>0</v>
      </c>
      <c r="L62" s="5" t="n">
        <f aca="false">L12</f>
        <v>0</v>
      </c>
      <c r="M62" s="5" t="n">
        <f aca="false">M12</f>
        <v>0</v>
      </c>
      <c r="N62" s="5" t="n">
        <f aca="false">N12</f>
        <v>0</v>
      </c>
      <c r="O62" s="5" t="n">
        <f aca="false">O12</f>
        <v>0</v>
      </c>
      <c r="P62" s="5" t="n">
        <f aca="false">P12</f>
        <v>0</v>
      </c>
      <c r="Q62" s="5" t="n">
        <f aca="false">Q12</f>
        <v>0</v>
      </c>
      <c r="R62" s="5" t="n">
        <f aca="false">R12</f>
        <v>0</v>
      </c>
    </row>
    <row r="63" s="5" customFormat="true" ht="12.8" hidden="false" customHeight="false" outlineLevel="0" collapsed="false">
      <c r="A63" s="0" t="s">
        <v>107</v>
      </c>
      <c r="B63" s="0" t="s">
        <v>108</v>
      </c>
    </row>
    <row r="64" s="5" customFormat="true" ht="12.8" hidden="false" customHeight="false" outlineLevel="0" collapsed="false">
      <c r="A64" s="0" t="s">
        <v>109</v>
      </c>
      <c r="B64" s="0" t="s">
        <v>110</v>
      </c>
    </row>
    <row r="65" s="5" customFormat="true" ht="12.8" hidden="false" customHeight="false" outlineLevel="0" collapsed="false">
      <c r="A65" s="0" t="s">
        <v>111</v>
      </c>
      <c r="B65" s="0" t="s">
        <v>112</v>
      </c>
      <c r="D65" s="5" t="n">
        <v>0</v>
      </c>
      <c r="F65" s="5" t="n">
        <v>0</v>
      </c>
      <c r="G65" s="5" t="n">
        <v>1427.99</v>
      </c>
      <c r="H65" s="5" t="n">
        <v>0</v>
      </c>
      <c r="I65" s="5" t="n">
        <v>1332.98</v>
      </c>
      <c r="J65" s="5" t="n">
        <v>0</v>
      </c>
      <c r="L65" s="5" t="n">
        <v>0</v>
      </c>
      <c r="M65" s="5" t="n">
        <v>1452.2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</row>
    <row r="66" s="5" customFormat="true" ht="12.8" hidden="false" customHeight="false" outlineLevel="0" collapsed="false">
      <c r="A66" s="0" t="s">
        <v>4</v>
      </c>
      <c r="B66" s="0"/>
      <c r="C66" s="5" t="n">
        <f aca="false">C33-C34-C35-C36-C37-C38-C39-C40-C41-C42-C43-C44-C45-C46-C47-C48-C49-C50-C51-C52-C53-C54-C55-C56-C57-C58-C59-C60-C61-C62+C63+C64-C65</f>
        <v>697067.8</v>
      </c>
      <c r="D66" s="5" t="n">
        <f aca="false">D33-D34-D35-D36-D37-D38-D39-D40-D41-D42-D43-D44-D45-D46-D47-D48-D49-D50-D51-D52-D53-D54-D55-D56-D57-D58-D59-D60-D61-D62+D63+D64-D65</f>
        <v>657631.99</v>
      </c>
      <c r="E66" s="5" t="n">
        <f aca="false">E33-E34-E35-E36-E37-E38-E39-E40-E41-E42-E43-E44-E45-E46-E47-E48-E49-E50-E51-E52-E53-E54-E55-E56-E57-E58-E59-E60-E61-E62+E63+E64-E65</f>
        <v>693488.93</v>
      </c>
      <c r="F66" s="5" t="n">
        <f aca="false">F33-F34-F35-F36-F37-F38-F39-F40-F41-F42-F43-F44-F45-F46-F47-F48-F49-F50-F51-F52-F53-F54-F55-F56-F57-F58-F59-F60-F61-F62+F63+F64-F65</f>
        <v>669545.1</v>
      </c>
      <c r="G66" s="5" t="n">
        <f aca="false">G33-G34-G35-G36-G37-G38-G39-G40-G41-G42-G43-G44-G45-G46-G47-G48-G49-G50-G51-G52-G53-G54-G55-G56-G57-G58-G59-G60-G61-G62+G63+G64-G65</f>
        <v>713365.99</v>
      </c>
      <c r="H66" s="5" t="n">
        <f aca="false">H33-H34-H35-H36-H37-H38-H39-H40-H41-H42-H43-H44-H45-H46-H47-H48-H49-H50-H51-H52-H53-H54-H55-H56-H57-H58-H59-H60-H61-H62+H63+H64-H65</f>
        <v>684486.06</v>
      </c>
      <c r="I66" s="5" t="n">
        <f aca="false">I33-I34-I35-I36-I37-I38-I39-I40-I41-I42-I43-I44-I45-I46-I47-I48-I49-I50-I51-I52-I53-I54-I55-I56-I57-I58-I59-I60-I61-I62+I63+I64-I65</f>
        <v>647931.44</v>
      </c>
      <c r="J66" s="5" t="n">
        <f aca="false">J33-J34-J35-J36-J37-J38-J39-J40-J41-J42-J43-J44-J45-J46-J47-J48-J49-J50-J51-J52-J53-J54-J55-J56-J57-J58-J59-J60-J61-J62+J63+J64-J65</f>
        <v>641703.99</v>
      </c>
      <c r="K66" s="5" t="n">
        <f aca="false">K33-K34-K35-K36-K37-K38-K39-K40-K41-K42-K43-K44-K45-K46-K47-K48-K49-K50-K51-K52-K53-K54-K55-K56-K57-K58-K59-K60-K61-K62+K63+K64-K65</f>
        <v>650291.05</v>
      </c>
      <c r="L66" s="5" t="n">
        <f aca="false">L33-L34-L35-L36-L37-L38-L39-L40-L41-L42-L43-L44-L45-L46-L47-L48-L49-L50-L51-L52-L53-L54-L55-L56-L57-L58-L59-L60-L61-L62+L63+L64-L65</f>
        <v>660575.58</v>
      </c>
      <c r="M66" s="5" t="n">
        <f aca="false">M33-M34-M35-M36-M37-M38-M39-M40-M41-M42-M43-M44-M45-M46-M47-M48-M49-M50-M51-M52-M53-M54-M55-M56-M57-M58-M59-M60-M61-M62+M63+M64-M65</f>
        <v>1362435.84</v>
      </c>
      <c r="N66" s="5" t="n">
        <f aca="false">N33-N34-N35-N36-N37-N38-N39-N40-N41-N42-N43-N44-N45-N46-N47-N48-N49-N50-N51-N52-N53-N54-N55-N56-N57-N58-N59-N60-N61-N62+N63+N64-N65</f>
        <v>740162.89</v>
      </c>
      <c r="O66" s="5" t="n">
        <f aca="false">O33-O34-O35-O36-O37-O38-O39-O40-O41-O42-O43-O44-O45-O46-O47-O48-O49-O50-O51-O52-O53-O54-O55-O56-O57-O58-O59-O60-O61-O62+O63+O64-O65</f>
        <v>681046.27</v>
      </c>
      <c r="P66" s="5" t="n">
        <f aca="false">P33-P34-P35-P36-P37-P38-P39-P40-P41-P42-P43-P44-P45-P46-P47-P48-P49-P50-P51-P52-P53-P54-P55-P56-P57-P58-P59-P60-P61-P62+P63+P64-P65</f>
        <v>719688.28</v>
      </c>
      <c r="Q66" s="5" t="n">
        <f aca="false">Q33-Q34-Q35-Q36-Q37-Q38-Q39-Q40-Q41-Q42-Q43-Q44-Q45-Q46-Q47-Q48-Q49-Q50-Q51-Q52-Q53-Q54-Q55-Q56-Q57-Q58-Q59-Q60-Q61-Q62+Q63+Q64-Q65</f>
        <v>738372.27</v>
      </c>
      <c r="R66" s="5" t="n">
        <f aca="false">R33-R34-R35-R36-R37-R38-R39-R40-R41-R42-R43-R44-R45-R46-R47-R48-R49-R50-R51-R52-R53-R54-R55-R56-R57-R58-R59-R60-R61-R62+R63+R64-R65</f>
        <v>717328.65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RowHeight="12.8" zeroHeight="false" outlineLevelRow="0" outlineLevelCol="0"/>
  <cols>
    <col collapsed="false" customWidth="true" hidden="false" outlineLevel="0" max="1" min="1" style="0" width="113.57"/>
    <col collapsed="false" customWidth="true" hidden="false" outlineLevel="0" max="2" min="2" style="0" width="21.46"/>
    <col collapsed="false" customWidth="false" hidden="false" outlineLevel="0" max="13" min="3" style="0" width="11.52"/>
    <col collapsed="false" customWidth="true" hidden="false" outlineLevel="0" max="18" min="14" style="0" width="13.14"/>
    <col collapsed="false" customWidth="false" hidden="false" outlineLevel="0" max="1025" min="19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n">
        <v>42428</v>
      </c>
      <c r="D1" s="2" t="n">
        <v>42460</v>
      </c>
      <c r="E1" s="2" t="n">
        <v>42490</v>
      </c>
      <c r="F1" s="2" t="n">
        <v>42521</v>
      </c>
      <c r="G1" s="2" t="n">
        <v>42551</v>
      </c>
      <c r="H1" s="2" t="n">
        <v>42582</v>
      </c>
      <c r="I1" s="2" t="n">
        <v>42613</v>
      </c>
      <c r="J1" s="2" t="n">
        <v>42643</v>
      </c>
      <c r="K1" s="2" t="n">
        <v>42674</v>
      </c>
      <c r="L1" s="2" t="n">
        <v>42704</v>
      </c>
      <c r="M1" s="2" t="n">
        <v>42735</v>
      </c>
      <c r="N1" s="2" t="n">
        <v>42766</v>
      </c>
      <c r="O1" s="2" t="n">
        <v>42794</v>
      </c>
      <c r="P1" s="2" t="n">
        <v>42825</v>
      </c>
      <c r="Q1" s="2" t="n">
        <v>42855</v>
      </c>
      <c r="R1" s="2" t="n">
        <v>42886</v>
      </c>
    </row>
    <row r="2" customFormat="false" ht="12.8" hidden="false" customHeight="false" outlineLevel="0" collapsed="false">
      <c r="A2" s="1" t="s">
        <v>2</v>
      </c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n">
        <f aca="false">N4/N3</f>
        <v>0.481268114077797</v>
      </c>
      <c r="O2" s="3" t="n">
        <f aca="false">O4/O3</f>
        <v>0.47635697397171</v>
      </c>
      <c r="P2" s="3" t="n">
        <f aca="false">P4/P3</f>
        <v>0.481529885631228</v>
      </c>
      <c r="Q2" s="3" t="n">
        <f aca="false">Q4/Q3</f>
        <v>0.487910382965417</v>
      </c>
      <c r="R2" s="3" t="n">
        <f aca="false">R4/R3</f>
        <v>0.493489428067888</v>
      </c>
    </row>
    <row r="3" customFormat="false" ht="12.8" hidden="false" customHeight="false" outlineLevel="0" collapsed="false">
      <c r="A3" s="1" t="s">
        <v>3</v>
      </c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n">
        <f aca="false">SUM(C15:N15)</f>
        <v>20842211.33</v>
      </c>
      <c r="O3" s="4" t="n">
        <f aca="false">SUM(D15:O15)</f>
        <v>21026240.44</v>
      </c>
      <c r="P3" s="4" t="n">
        <f aca="false">SUM(E15:P15)</f>
        <v>20926672.26</v>
      </c>
      <c r="Q3" s="4" t="n">
        <f aca="false">SUM(F15:Q15)</f>
        <v>20769803.07</v>
      </c>
      <c r="R3" s="4" t="n">
        <f aca="false">SUM(G15:R15)</f>
        <v>20651125.8</v>
      </c>
    </row>
    <row r="4" customFormat="false" ht="12.8" hidden="false" customHeight="false" outlineLevel="0" collapsed="false">
      <c r="A4" s="1" t="s">
        <v>4</v>
      </c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 t="n">
        <f aca="false">SUM(C28:N28)</f>
        <v>10030691.74</v>
      </c>
      <c r="O4" s="4" t="n">
        <f aca="false">SUM(D28:O28)</f>
        <v>10015996.27</v>
      </c>
      <c r="P4" s="4" t="n">
        <f aca="false">SUM(E28:P28)</f>
        <v>10076818.1</v>
      </c>
      <c r="Q4" s="4" t="n">
        <f aca="false">SUM(F28:Q28)</f>
        <v>10133802.57</v>
      </c>
      <c r="R4" s="4" t="n">
        <f aca="false">SUM(G28:R28)</f>
        <v>10191112.26</v>
      </c>
    </row>
    <row r="6" customFormat="false" ht="12.8" hidden="false" customHeight="false" outlineLevel="0" collapsed="false">
      <c r="A6" s="0" t="s">
        <v>5</v>
      </c>
      <c r="B6" s="0" t="s">
        <v>6</v>
      </c>
      <c r="C6" s="5" t="n">
        <f aca="false">'Pessoal TCE'!C6</f>
        <v>1888341.41</v>
      </c>
      <c r="D6" s="5" t="n">
        <f aca="false">'Pessoal TCE'!D6</f>
        <v>2020714.25</v>
      </c>
      <c r="E6" s="5" t="n">
        <f aca="false">'Pessoal TCE'!E6</f>
        <v>2111521.46</v>
      </c>
      <c r="F6" s="5" t="n">
        <f aca="false">'Pessoal TCE'!F6</f>
        <v>2210806.52</v>
      </c>
      <c r="G6" s="5" t="n">
        <f aca="false">'Pessoal TCE'!G6</f>
        <v>1869631.35</v>
      </c>
      <c r="H6" s="5" t="n">
        <f aca="false">'Pessoal TCE'!H6</f>
        <v>1854871.25</v>
      </c>
      <c r="I6" s="5" t="n">
        <f aca="false">'Pessoal TCE'!I6</f>
        <v>1824460.25</v>
      </c>
      <c r="J6" s="5" t="n">
        <f aca="false">'Pessoal TCE'!J6</f>
        <v>1605686.32</v>
      </c>
      <c r="K6" s="5" t="n">
        <f aca="false">'Pessoal TCE'!K6</f>
        <v>1734366.78</v>
      </c>
      <c r="L6" s="5" t="n">
        <f aca="false">'Pessoal TCE'!L6</f>
        <v>2176900.08</v>
      </c>
      <c r="M6" s="5" t="n">
        <f aca="false">'Pessoal TCE'!M6</f>
        <v>3237842.84</v>
      </c>
      <c r="N6" s="5" t="n">
        <f aca="false">'Pessoal TCE'!N6</f>
        <v>2057852.32</v>
      </c>
      <c r="O6" s="5" t="n">
        <f aca="false">'Pessoal TCE'!O6</f>
        <v>2075445.12</v>
      </c>
      <c r="P6" s="5" t="n">
        <f aca="false">'Pessoal TCE'!P6</f>
        <v>1923506.53</v>
      </c>
      <c r="Q6" s="5" t="n">
        <f aca="false">'Pessoal TCE'!Q6</f>
        <v>2020895.99</v>
      </c>
      <c r="R6" s="5" t="n">
        <f aca="false">'Pessoal TCE'!R6</f>
        <v>2181027.19</v>
      </c>
    </row>
    <row r="7" customFormat="false" ht="12.8" hidden="false" customHeight="false" outlineLevel="0" collapsed="false">
      <c r="A7" s="0" t="s">
        <v>7</v>
      </c>
      <c r="B7" s="0" t="s">
        <v>8</v>
      </c>
      <c r="C7" s="5" t="n">
        <f aca="false">'Pessoal TCE'!C7</f>
        <v>235567.69</v>
      </c>
      <c r="D7" s="5" t="n">
        <f aca="false">'Pessoal TCE'!D7</f>
        <v>229666.97</v>
      </c>
      <c r="E7" s="5" t="n">
        <f aca="false">'Pessoal TCE'!E7</f>
        <v>245674.2</v>
      </c>
      <c r="F7" s="5" t="n">
        <f aca="false">'Pessoal TCE'!F7</f>
        <v>308383.63</v>
      </c>
      <c r="G7" s="5" t="n">
        <f aca="false">'Pessoal TCE'!G7</f>
        <v>214113.46</v>
      </c>
      <c r="H7" s="5" t="n">
        <f aca="false">'Pessoal TCE'!H7</f>
        <v>183168.89</v>
      </c>
      <c r="I7" s="5" t="n">
        <f aca="false">'Pessoal TCE'!I7</f>
        <v>252119.76</v>
      </c>
      <c r="J7" s="5" t="n">
        <f aca="false">'Pessoal TCE'!J7</f>
        <v>174982.96</v>
      </c>
      <c r="K7" s="5" t="n">
        <f aca="false">'Pessoal TCE'!K7</f>
        <v>207758.92</v>
      </c>
      <c r="L7" s="5" t="n">
        <f aca="false">'Pessoal TCE'!L7</f>
        <v>402297.95</v>
      </c>
      <c r="M7" s="5" t="n">
        <f aca="false">'Pessoal TCE'!M7</f>
        <v>358084.82</v>
      </c>
      <c r="N7" s="5" t="n">
        <f aca="false">'Pessoal TCE'!N7</f>
        <v>269637</v>
      </c>
      <c r="O7" s="5" t="n">
        <f aca="false">'Pessoal TCE'!O7</f>
        <v>235417.7</v>
      </c>
      <c r="P7" s="5" t="n">
        <f aca="false">'Pessoal TCE'!P7</f>
        <v>230864.38</v>
      </c>
      <c r="Q7" s="5" t="n">
        <f aca="false">'Pessoal TCE'!Q7</f>
        <v>309960.74</v>
      </c>
      <c r="R7" s="5" t="n">
        <f aca="false">'Pessoal TCE'!R7</f>
        <v>394207.07</v>
      </c>
    </row>
    <row r="8" customFormat="false" ht="12.8" hidden="false" customHeight="false" outlineLevel="0" collapsed="false">
      <c r="A8" s="0" t="s">
        <v>113</v>
      </c>
      <c r="B8" s="0" t="s">
        <v>114</v>
      </c>
      <c r="C8" s="5" t="n">
        <f aca="false">'Pessoal TCE'!C14</f>
        <v>58907.16</v>
      </c>
      <c r="D8" s="5" t="n">
        <f aca="false">'Pessoal TCE'!D14</f>
        <v>51795.63</v>
      </c>
      <c r="E8" s="5" t="n">
        <f aca="false">'Pessoal TCE'!E14</f>
        <v>50454.9</v>
      </c>
      <c r="F8" s="5" t="n">
        <f aca="false">'Pessoal TCE'!F14</f>
        <v>50889</v>
      </c>
      <c r="G8" s="5" t="n">
        <f aca="false">'Pessoal TCE'!G14</f>
        <v>51080.58</v>
      </c>
      <c r="H8" s="5" t="n">
        <f aca="false">'Pessoal TCE'!H14</f>
        <v>52155.46</v>
      </c>
      <c r="I8" s="5" t="n">
        <f aca="false">'Pessoal TCE'!I14</f>
        <v>52921.44</v>
      </c>
      <c r="J8" s="5" t="n">
        <f aca="false">'Pessoal TCE'!J14</f>
        <v>49980.16</v>
      </c>
      <c r="K8" s="5" t="n">
        <f aca="false">'Pessoal TCE'!K14</f>
        <v>49885.88</v>
      </c>
      <c r="L8" s="5" t="n">
        <f aca="false">'Pessoal TCE'!L14</f>
        <v>50379.04</v>
      </c>
      <c r="M8" s="5" t="n">
        <f aca="false">'Pessoal TCE'!M14</f>
        <v>150878</v>
      </c>
      <c r="N8" s="5" t="n">
        <f aca="false">'Pessoal TCE'!N14</f>
        <v>0</v>
      </c>
      <c r="O8" s="5" t="n">
        <f aca="false">'Pessoal TCE'!O14</f>
        <v>62131.75</v>
      </c>
      <c r="P8" s="5" t="n">
        <f aca="false">'Pessoal TCE'!P14</f>
        <v>52958.68</v>
      </c>
      <c r="Q8" s="5" t="n">
        <f aca="false">'Pessoal TCE'!Q14</f>
        <v>52412.08</v>
      </c>
      <c r="R8" s="5" t="n">
        <f aca="false">'Pessoal TCE'!R14</f>
        <v>53963.5</v>
      </c>
    </row>
    <row r="9" customFormat="false" ht="12.8" hidden="false" customHeight="false" outlineLevel="0" collapsed="false">
      <c r="A9" s="0" t="s">
        <v>115</v>
      </c>
      <c r="B9" s="0" t="s">
        <v>116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customFormat="false" ht="12.8" hidden="false" customHeight="false" outlineLevel="0" collapsed="false">
      <c r="A10" s="0" t="s">
        <v>117</v>
      </c>
      <c r="B10" s="0" t="s">
        <v>118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customFormat="false" ht="12.8" hidden="false" customHeight="false" outlineLevel="0" collapsed="false">
      <c r="A11" s="0" t="s">
        <v>119</v>
      </c>
      <c r="B11" s="0" t="s">
        <v>120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12.8" hidden="false" customHeight="false" outlineLevel="0" collapsed="false">
      <c r="A12" s="0" t="s">
        <v>121</v>
      </c>
      <c r="B12" s="0" t="s">
        <v>122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customFormat="false" ht="12.8" hidden="false" customHeight="false" outlineLevel="0" collapsed="false">
      <c r="A13" s="0" t="s">
        <v>123</v>
      </c>
      <c r="B13" s="0" t="s">
        <v>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2.8" hidden="false" customHeight="false" outlineLevel="0" collapsed="false">
      <c r="A14" s="0" t="s">
        <v>124</v>
      </c>
      <c r="B14" s="0" t="s">
        <v>125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2.8" hidden="false" customHeight="false" outlineLevel="0" collapsed="false">
      <c r="A15" s="0" t="s">
        <v>3</v>
      </c>
      <c r="C15" s="5" t="n">
        <f aca="false">C6-C7-C8-C9-C10-C11-C12-C13-C14</f>
        <v>1593866.56</v>
      </c>
      <c r="D15" s="5" t="n">
        <f aca="false">D6-D7-D8-D9-D10-D11-D12-D13-D14</f>
        <v>1739251.65</v>
      </c>
      <c r="E15" s="5" t="n">
        <f aca="false">E6-E7-E8-E9-E10-E11-E12-E13-E14</f>
        <v>1815392.36</v>
      </c>
      <c r="F15" s="5" t="n">
        <f aca="false">F6-F7-F8-F9-F10-F11-F12-F13-F14</f>
        <v>1851533.89</v>
      </c>
      <c r="G15" s="5" t="n">
        <f aca="false">G6-G7-G8-G9-G10-G11-G12-G13-G14</f>
        <v>1604437.31</v>
      </c>
      <c r="H15" s="5" t="n">
        <f aca="false">H6-H7-H8-H9-H10-H11-H12-H13-H14</f>
        <v>1619546.9</v>
      </c>
      <c r="I15" s="5" t="n">
        <f aca="false">I6-I7-I8-I9-I10-I11-I12-I13-I14</f>
        <v>1519419.05</v>
      </c>
      <c r="J15" s="5" t="n">
        <f aca="false">J6-J7-J8-J9-J10-J11-J12-J13-J14</f>
        <v>1380723.2</v>
      </c>
      <c r="K15" s="5" t="n">
        <f aca="false">K6-K7-K8-K9-K10-K11-K12-K13-K14</f>
        <v>1476721.98</v>
      </c>
      <c r="L15" s="5" t="n">
        <f aca="false">L6-L7-L8-L9-L10-L11-L12-L13-L14</f>
        <v>1724223.09</v>
      </c>
      <c r="M15" s="5" t="n">
        <f aca="false">M6-M7-M8-M9-M10-M11-M12-M13-M14</f>
        <v>2728880.02</v>
      </c>
      <c r="N15" s="5" t="n">
        <f aca="false">N6-N7-N8-N9-N10-N11-N12-N13-N14</f>
        <v>1788215.32</v>
      </c>
      <c r="O15" s="5" t="n">
        <f aca="false">O6-O7-O8-O9-O10-O11-O12-O13-O14</f>
        <v>1777895.67</v>
      </c>
      <c r="P15" s="5" t="n">
        <f aca="false">P6-P7-P8-P9-P10-P11-P12-P13-P14</f>
        <v>1639683.47</v>
      </c>
      <c r="Q15" s="5" t="n">
        <f aca="false">Q6-Q7-Q8-Q9-Q10-Q11-Q12-Q13-Q14</f>
        <v>1658523.17</v>
      </c>
      <c r="R15" s="5" t="n">
        <f aca="false">R6-R7-R8-R9-R10-R11-R12-R13-R14</f>
        <v>1732856.62</v>
      </c>
    </row>
    <row r="17" customFormat="false" ht="12.8" hidden="false" customHeight="false" outlineLevel="0" collapsed="false">
      <c r="A17" s="0" t="s">
        <v>54</v>
      </c>
      <c r="B17" s="0" t="s">
        <v>55</v>
      </c>
      <c r="C17" s="5" t="n">
        <f aca="false">'Pessoal TCE'!C33</f>
        <v>941958.32</v>
      </c>
      <c r="D17" s="5" t="n">
        <f aca="false">'Pessoal TCE'!D33</f>
        <v>886171.77</v>
      </c>
      <c r="E17" s="5" t="n">
        <f aca="false">'Pessoal TCE'!E33</f>
        <v>918230.04</v>
      </c>
      <c r="F17" s="5" t="n">
        <f aca="false">'Pessoal TCE'!F33</f>
        <v>898260.19</v>
      </c>
      <c r="G17" s="5" t="n">
        <f aca="false">'Pessoal TCE'!G33</f>
        <v>956724.37</v>
      </c>
      <c r="H17" s="5" t="n">
        <f aca="false">'Pessoal TCE'!H33</f>
        <v>939481.07</v>
      </c>
      <c r="I17" s="5" t="n">
        <f aca="false">'Pessoal TCE'!I33</f>
        <v>896084.58</v>
      </c>
      <c r="J17" s="5" t="n">
        <f aca="false">'Pessoal TCE'!J33</f>
        <v>886644.39</v>
      </c>
      <c r="K17" s="5" t="n">
        <f aca="false">'Pessoal TCE'!K33</f>
        <v>893153.53</v>
      </c>
      <c r="L17" s="5" t="n">
        <f aca="false">'Pessoal TCE'!L33</f>
        <v>905781.73</v>
      </c>
      <c r="M17" s="5" t="n">
        <f aca="false">'Pessoal TCE'!M33</f>
        <v>1858460.6</v>
      </c>
      <c r="N17" s="5" t="n">
        <f aca="false">'Pessoal TCE'!N33</f>
        <v>1025828.63</v>
      </c>
      <c r="O17" s="5" t="n">
        <f aca="false">'Pessoal TCE'!O33</f>
        <v>934960.01</v>
      </c>
      <c r="P17" s="5" t="n">
        <f aca="false">'Pessoal TCE'!P33</f>
        <v>970645.32</v>
      </c>
      <c r="Q17" s="5" t="n">
        <f aca="false">'Pessoal TCE'!Q33</f>
        <v>1020434.27</v>
      </c>
      <c r="R17" s="5" t="n">
        <f aca="false">'Pessoal TCE'!R33</f>
        <v>988723.72</v>
      </c>
    </row>
    <row r="18" customFormat="false" ht="12.8" hidden="false" customHeight="false" outlineLevel="0" collapsed="false">
      <c r="A18" s="0" t="s">
        <v>126</v>
      </c>
      <c r="B18" s="0" t="s">
        <v>127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customFormat="false" ht="12.8" hidden="false" customHeight="false" outlineLevel="0" collapsed="false">
      <c r="A19" s="0" t="s">
        <v>56</v>
      </c>
      <c r="B19" s="0" t="s">
        <v>57</v>
      </c>
      <c r="C19" s="5" t="n">
        <f aca="false">'Pessoal TCE'!C34</f>
        <v>81897.21</v>
      </c>
      <c r="D19" s="5" t="n">
        <f aca="false">'Pessoal TCE'!D34</f>
        <v>79860.1</v>
      </c>
      <c r="E19" s="5" t="n">
        <f aca="false">'Pessoal TCE'!E34</f>
        <v>79860.1</v>
      </c>
      <c r="F19" s="5" t="n">
        <f aca="false">'Pessoal TCE'!F34</f>
        <v>79860.1</v>
      </c>
      <c r="G19" s="5" t="n">
        <f aca="false">'Pessoal TCE'!G34</f>
        <v>79860.1</v>
      </c>
      <c r="H19" s="5" t="n">
        <f aca="false">'Pessoal TCE'!H34</f>
        <v>80625.97</v>
      </c>
      <c r="I19" s="5" t="n">
        <f aca="false">'Pessoal TCE'!I34</f>
        <v>78832.16</v>
      </c>
      <c r="J19" s="5" t="n">
        <f aca="false">'Pessoal TCE'!J34</f>
        <v>78540.98</v>
      </c>
      <c r="K19" s="5" t="n">
        <f aca="false">'Pessoal TCE'!K34</f>
        <v>75799.76</v>
      </c>
      <c r="L19" s="5" t="n">
        <f aca="false">'Pessoal TCE'!L34</f>
        <v>75799.76</v>
      </c>
      <c r="M19" s="5" t="n">
        <f aca="false">'Pessoal TCE'!M34</f>
        <v>152213.67</v>
      </c>
      <c r="N19" s="5" t="n">
        <f aca="false">'Pessoal TCE'!N34</f>
        <v>82824.31</v>
      </c>
      <c r="O19" s="5" t="n">
        <f aca="false">'Pessoal TCE'!O34</f>
        <v>82824.31</v>
      </c>
      <c r="P19" s="5" t="n">
        <f aca="false">'Pessoal TCE'!P34</f>
        <v>82202.87</v>
      </c>
      <c r="Q19" s="5" t="n">
        <f aca="false">'Pessoal TCE'!Q34</f>
        <v>86124.51</v>
      </c>
      <c r="R19" s="5" t="n">
        <f aca="false">'Pessoal TCE'!R34</f>
        <v>88692.86</v>
      </c>
    </row>
    <row r="20" customFormat="false" ht="12.8" hidden="false" customHeight="false" outlineLevel="0" collapsed="false">
      <c r="A20" s="0" t="s">
        <v>58</v>
      </c>
      <c r="B20" s="0" t="s">
        <v>59</v>
      </c>
      <c r="C20" s="5" t="n">
        <f aca="false">'Pessoal TCE'!C35</f>
        <v>30454.21</v>
      </c>
      <c r="D20" s="5" t="n">
        <f aca="false">'Pessoal TCE'!D35</f>
        <v>30334.38</v>
      </c>
      <c r="E20" s="5" t="n">
        <f aca="false">'Pessoal TCE'!E35</f>
        <v>30334.38</v>
      </c>
      <c r="F20" s="5" t="n">
        <f aca="false">'Pessoal TCE'!F35</f>
        <v>30334.38</v>
      </c>
      <c r="G20" s="5" t="n">
        <f aca="false">'Pessoal TCE'!G35</f>
        <v>30744.31</v>
      </c>
      <c r="H20" s="5" t="n">
        <f aca="false">'Pessoal TCE'!H35</f>
        <v>37678.09</v>
      </c>
      <c r="I20" s="5" t="n">
        <f aca="false">'Pessoal TCE'!I35</f>
        <v>40827.04</v>
      </c>
      <c r="J20" s="5" t="n">
        <f aca="false">'Pessoal TCE'!J35</f>
        <v>41332.78</v>
      </c>
      <c r="K20" s="5" t="n">
        <f aca="false">'Pessoal TCE'!K35</f>
        <v>42512.54</v>
      </c>
      <c r="L20" s="5" t="n">
        <f aca="false">'Pessoal TCE'!L35</f>
        <v>42512.54</v>
      </c>
      <c r="M20" s="5" t="n">
        <f aca="false">'Pessoal TCE'!M35</f>
        <v>77974.78</v>
      </c>
      <c r="N20" s="5" t="n">
        <f aca="false">'Pessoal TCE'!N35</f>
        <v>45263.16</v>
      </c>
      <c r="O20" s="5" t="n">
        <f aca="false">'Pessoal TCE'!O35</f>
        <v>45263.16</v>
      </c>
      <c r="P20" s="5" t="n">
        <f aca="false">'Pessoal TCE'!P35</f>
        <v>43405.23</v>
      </c>
      <c r="Q20" s="5" t="n">
        <f aca="false">'Pessoal TCE'!Q35</f>
        <v>42823.47</v>
      </c>
      <c r="R20" s="5" t="n">
        <f aca="false">'Pessoal TCE'!R35</f>
        <v>42823.47</v>
      </c>
    </row>
    <row r="21" customFormat="false" ht="12.8" hidden="false" customHeight="false" outlineLevel="0" collapsed="false">
      <c r="A21" s="0" t="s">
        <v>60</v>
      </c>
      <c r="B21" s="0" t="s">
        <v>61</v>
      </c>
      <c r="C21" s="5" t="n">
        <f aca="false">'Pessoal TCE'!C36</f>
        <v>38302.58</v>
      </c>
      <c r="D21" s="5" t="n">
        <f aca="false">'Pessoal TCE'!D36</f>
        <v>29505</v>
      </c>
      <c r="E21" s="5" t="n">
        <f aca="false">'Pessoal TCE'!E36</f>
        <v>25412.26</v>
      </c>
      <c r="F21" s="5" t="n">
        <f aca="false">'Pessoal TCE'!F36</f>
        <v>29697.23</v>
      </c>
      <c r="G21" s="5" t="n">
        <f aca="false">'Pessoal TCE'!G36</f>
        <v>32661</v>
      </c>
      <c r="H21" s="5" t="n">
        <f aca="false">'Pessoal TCE'!H36</f>
        <v>42799.24</v>
      </c>
      <c r="I21" s="5" t="n">
        <f aca="false">'Pessoal TCE'!I36</f>
        <v>39709.75</v>
      </c>
      <c r="J21" s="5" t="n">
        <f aca="false">'Pessoal TCE'!J36</f>
        <v>39633.27</v>
      </c>
      <c r="K21" s="5" t="n">
        <f aca="false">'Pessoal TCE'!K36</f>
        <v>37058.53</v>
      </c>
      <c r="L21" s="5" t="n">
        <f aca="false">'Pessoal TCE'!L36</f>
        <v>39182.34</v>
      </c>
      <c r="M21" s="5" t="n">
        <f aca="false">'Pessoal TCE'!M36</f>
        <v>77667.85</v>
      </c>
      <c r="N21" s="5" t="n">
        <f aca="false">'Pessoal TCE'!N36</f>
        <v>38181.62</v>
      </c>
      <c r="O21" s="5" t="n">
        <f aca="false">'Pessoal TCE'!O36</f>
        <v>30263.69</v>
      </c>
      <c r="P21" s="5" t="n">
        <f aca="false">'Pessoal TCE'!P36</f>
        <v>37743.1</v>
      </c>
      <c r="Q21" s="5" t="n">
        <f aca="false">'Pessoal TCE'!Q36</f>
        <v>37630.52</v>
      </c>
      <c r="R21" s="5" t="n">
        <f aca="false">'Pessoal TCE'!R36</f>
        <v>41529.22</v>
      </c>
    </row>
    <row r="22" customFormat="false" ht="12.8" hidden="false" customHeight="false" outlineLevel="0" collapsed="false">
      <c r="A22" s="0" t="s">
        <v>62</v>
      </c>
      <c r="B22" s="0" t="s">
        <v>63</v>
      </c>
      <c r="C22" s="5" t="n">
        <f aca="false">'Pessoal TCE'!C37</f>
        <v>0</v>
      </c>
      <c r="D22" s="5" t="n">
        <f aca="false">'Pessoal TCE'!D37</f>
        <v>0</v>
      </c>
      <c r="E22" s="5" t="n">
        <f aca="false">'Pessoal TCE'!E37</f>
        <v>0</v>
      </c>
      <c r="F22" s="5" t="n">
        <f aca="false">'Pessoal TCE'!F37</f>
        <v>0</v>
      </c>
      <c r="G22" s="5" t="n">
        <f aca="false">'Pessoal TCE'!G37</f>
        <v>0</v>
      </c>
      <c r="H22" s="5" t="n">
        <f aca="false">'Pessoal TCE'!H37</f>
        <v>0</v>
      </c>
      <c r="I22" s="5" t="n">
        <f aca="false">'Pessoal TCE'!I37</f>
        <v>0</v>
      </c>
      <c r="J22" s="5" t="n">
        <f aca="false">'Pessoal TCE'!J37</f>
        <v>0</v>
      </c>
      <c r="K22" s="5" t="n">
        <f aca="false">'Pessoal TCE'!K37</f>
        <v>0</v>
      </c>
      <c r="L22" s="5" t="n">
        <f aca="false">'Pessoal TCE'!L37</f>
        <v>0</v>
      </c>
      <c r="M22" s="5" t="n">
        <f aca="false">'Pessoal TCE'!M37</f>
        <v>0</v>
      </c>
      <c r="N22" s="5" t="n">
        <f aca="false">'Pessoal TCE'!N37</f>
        <v>0</v>
      </c>
      <c r="O22" s="5" t="n">
        <f aca="false">'Pessoal TCE'!O37</f>
        <v>0</v>
      </c>
      <c r="P22" s="5" t="n">
        <f aca="false">'Pessoal TCE'!P37</f>
        <v>0</v>
      </c>
      <c r="Q22" s="5" t="n">
        <f aca="false">'Pessoal TCE'!Q37</f>
        <v>0</v>
      </c>
      <c r="R22" s="5" t="n">
        <f aca="false">'Pessoal TCE'!R37</f>
        <v>0</v>
      </c>
    </row>
    <row r="23" customFormat="false" ht="12.8" hidden="false" customHeight="false" outlineLevel="0" collapsed="false">
      <c r="A23" s="0" t="s">
        <v>64</v>
      </c>
      <c r="B23" s="0" t="s">
        <v>65</v>
      </c>
      <c r="C23" s="5" t="n">
        <f aca="false">'Pessoal TCE'!C38</f>
        <v>0</v>
      </c>
      <c r="D23" s="5" t="n">
        <f aca="false">'Pessoal TCE'!D38</f>
        <v>0</v>
      </c>
      <c r="E23" s="5" t="n">
        <f aca="false">'Pessoal TCE'!E38</f>
        <v>0</v>
      </c>
      <c r="F23" s="5" t="n">
        <f aca="false">'Pessoal TCE'!F38</f>
        <v>0</v>
      </c>
      <c r="G23" s="5" t="n">
        <f aca="false">'Pessoal TCE'!G38</f>
        <v>0</v>
      </c>
      <c r="H23" s="5" t="n">
        <f aca="false">'Pessoal TCE'!H38</f>
        <v>0</v>
      </c>
      <c r="I23" s="5" t="n">
        <f aca="false">'Pessoal TCE'!I38</f>
        <v>0</v>
      </c>
      <c r="J23" s="5" t="n">
        <f aca="false">'Pessoal TCE'!J38</f>
        <v>0</v>
      </c>
      <c r="K23" s="5" t="n">
        <f aca="false">'Pessoal TCE'!K38</f>
        <v>0</v>
      </c>
      <c r="L23" s="5" t="n">
        <f aca="false">'Pessoal TCE'!L38</f>
        <v>0</v>
      </c>
      <c r="M23" s="5" t="n">
        <f aca="false">'Pessoal TCE'!M38</f>
        <v>0</v>
      </c>
      <c r="N23" s="5" t="n">
        <f aca="false">'Pessoal TCE'!N38</f>
        <v>0</v>
      </c>
      <c r="O23" s="5" t="n">
        <f aca="false">'Pessoal TCE'!O38</f>
        <v>0</v>
      </c>
      <c r="P23" s="5" t="n">
        <f aca="false">'Pessoal TCE'!P38</f>
        <v>0</v>
      </c>
      <c r="Q23" s="5" t="n">
        <f aca="false">'Pessoal TCE'!Q38</f>
        <v>0</v>
      </c>
      <c r="R23" s="5" t="n">
        <f aca="false">'Pessoal TCE'!R38</f>
        <v>0</v>
      </c>
    </row>
    <row r="24" customFormat="false" ht="12.8" hidden="false" customHeight="false" outlineLevel="0" collapsed="false">
      <c r="A24" s="0" t="s">
        <v>66</v>
      </c>
      <c r="B24" s="0" t="s">
        <v>67</v>
      </c>
      <c r="C24" s="5" t="n">
        <f aca="false">'Pessoal TCE'!C39</f>
        <v>0</v>
      </c>
      <c r="D24" s="5" t="n">
        <f aca="false">'Pessoal TCE'!D39</f>
        <v>0</v>
      </c>
      <c r="E24" s="5" t="n">
        <f aca="false">'Pessoal TCE'!E39</f>
        <v>0</v>
      </c>
      <c r="F24" s="5" t="n">
        <f aca="false">'Pessoal TCE'!F39</f>
        <v>0</v>
      </c>
      <c r="G24" s="5" t="n">
        <f aca="false">'Pessoal TCE'!G39</f>
        <v>0</v>
      </c>
      <c r="H24" s="5" t="n">
        <f aca="false">'Pessoal TCE'!H39</f>
        <v>0</v>
      </c>
      <c r="I24" s="5" t="n">
        <f aca="false">'Pessoal TCE'!I39</f>
        <v>0</v>
      </c>
      <c r="J24" s="5" t="n">
        <f aca="false">'Pessoal TCE'!J39</f>
        <v>0</v>
      </c>
      <c r="K24" s="5" t="n">
        <f aca="false">'Pessoal TCE'!K39</f>
        <v>0</v>
      </c>
      <c r="L24" s="5" t="n">
        <f aca="false">'Pessoal TCE'!L39</f>
        <v>0</v>
      </c>
      <c r="M24" s="5" t="n">
        <f aca="false">'Pessoal TCE'!M39</f>
        <v>0</v>
      </c>
      <c r="N24" s="5" t="n">
        <f aca="false">'Pessoal TCE'!N39</f>
        <v>0</v>
      </c>
      <c r="O24" s="5" t="n">
        <f aca="false">'Pessoal TCE'!O39</f>
        <v>0</v>
      </c>
      <c r="P24" s="5" t="n">
        <f aca="false">'Pessoal TCE'!P39</f>
        <v>0</v>
      </c>
      <c r="Q24" s="5" t="n">
        <f aca="false">'Pessoal TCE'!Q39</f>
        <v>0</v>
      </c>
      <c r="R24" s="5" t="n">
        <f aca="false">'Pessoal TCE'!R39</f>
        <v>0</v>
      </c>
    </row>
    <row r="25" customFormat="false" ht="12.8" hidden="false" customHeight="false" outlineLevel="0" collapsed="false">
      <c r="A25" s="0" t="s">
        <v>128</v>
      </c>
      <c r="B25" s="0" t="s">
        <v>129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customFormat="false" ht="12.8" hidden="false" customHeight="false" outlineLevel="0" collapsed="false">
      <c r="A26" s="0" t="s">
        <v>130</v>
      </c>
      <c r="B26" s="0" t="s">
        <v>131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customFormat="false" ht="12.8" hidden="false" customHeight="false" outlineLevel="0" collapsed="false">
      <c r="A27" s="0" t="s">
        <v>132</v>
      </c>
      <c r="B27" s="0" t="s">
        <v>133</v>
      </c>
      <c r="C27" s="5" t="n">
        <f aca="false">'Pessoal TCE'!C53</f>
        <v>0</v>
      </c>
      <c r="D27" s="5" t="n">
        <f aca="false">'Pessoal TCE'!D53</f>
        <v>0</v>
      </c>
      <c r="E27" s="5" t="n">
        <f aca="false">'Pessoal TCE'!E53</f>
        <v>0</v>
      </c>
      <c r="F27" s="5" t="n">
        <f aca="false">'Pessoal TCE'!F53</f>
        <v>0</v>
      </c>
      <c r="G27" s="5" t="n">
        <f aca="false">'Pessoal TCE'!G53</f>
        <v>0</v>
      </c>
      <c r="H27" s="5" t="n">
        <f aca="false">'Pessoal TCE'!H53</f>
        <v>0</v>
      </c>
      <c r="I27" s="5" t="n">
        <f aca="false">'Pessoal TCE'!I53</f>
        <v>0</v>
      </c>
      <c r="J27" s="5" t="n">
        <f aca="false">'Pessoal TCE'!J53</f>
        <v>0</v>
      </c>
      <c r="K27" s="5" t="n">
        <f aca="false">'Pessoal TCE'!K53</f>
        <v>0</v>
      </c>
      <c r="L27" s="5" t="n">
        <f aca="false">'Pessoal TCE'!L53</f>
        <v>0</v>
      </c>
      <c r="M27" s="5" t="n">
        <f aca="false">'Pessoal TCE'!M53</f>
        <v>0</v>
      </c>
      <c r="N27" s="5" t="n">
        <f aca="false">'Pessoal TCE'!N53</f>
        <v>0</v>
      </c>
      <c r="O27" s="5" t="n">
        <f aca="false">'Pessoal TCE'!O53</f>
        <v>0</v>
      </c>
      <c r="P27" s="5" t="n">
        <f aca="false">'Pessoal TCE'!P53</f>
        <v>0</v>
      </c>
      <c r="Q27" s="5" t="n">
        <f aca="false">'Pessoal TCE'!Q53</f>
        <v>14248</v>
      </c>
      <c r="R27" s="5" t="n">
        <f aca="false">'Pessoal TCE'!R53</f>
        <v>0</v>
      </c>
    </row>
    <row r="28" customFormat="false" ht="12.8" hidden="false" customHeight="false" outlineLevel="0" collapsed="false">
      <c r="A28" s="0" t="s">
        <v>4</v>
      </c>
      <c r="C28" s="5" t="n">
        <f aca="false">C17-C18-C19-C20-C21-C22-C23-C24-C25-C26-C27</f>
        <v>791304.32</v>
      </c>
      <c r="D28" s="5" t="n">
        <f aca="false">D17-D18-D19-D20-D21-D22-D23-D24-D25-D26-D27</f>
        <v>746472.29</v>
      </c>
      <c r="E28" s="5" t="n">
        <f aca="false">E17-E18-E19-E20-E21-E22-E23-E24-E25-E26-E27</f>
        <v>782623.3</v>
      </c>
      <c r="F28" s="5" t="n">
        <f aca="false">F17-F18-F19-F20-F21-F22-F23-F24-F25-F26-F27</f>
        <v>758368.48</v>
      </c>
      <c r="G28" s="5" t="n">
        <f aca="false">G17-G18-G19-G20-G21-G22-G23-G24-G25-G26-G27</f>
        <v>813458.96</v>
      </c>
      <c r="H28" s="5" t="n">
        <f aca="false">H17-H18-H19-H20-H21-H22-H23-H24-H25-H26-H27</f>
        <v>778377.77</v>
      </c>
      <c r="I28" s="5" t="n">
        <f aca="false">I17-I18-I19-I20-I21-I22-I23-I24-I25-I26-I27</f>
        <v>736715.63</v>
      </c>
      <c r="J28" s="5" t="n">
        <f aca="false">J17-J18-J19-J20-J21-J22-J23-J24-J25-J26-J27</f>
        <v>727137.36</v>
      </c>
      <c r="K28" s="5" t="n">
        <f aca="false">K17-K18-K19-K20-K21-K22-K23-K24-K25-K26-K27</f>
        <v>737782.7</v>
      </c>
      <c r="L28" s="5" t="n">
        <f aca="false">L17-L18-L19-L20-L21-L22-L23-L24-L25-L26-L27</f>
        <v>748287.09</v>
      </c>
      <c r="M28" s="5" t="n">
        <f aca="false">M17-M18-M19-M20-M21-M22-M23-M24-M25-M26-M27</f>
        <v>1550604.3</v>
      </c>
      <c r="N28" s="5" t="n">
        <f aca="false">N17-N18-N19-N20-N21-N22-N23-N24-N25-N26-N27</f>
        <v>859559.54</v>
      </c>
      <c r="O28" s="5" t="n">
        <f aca="false">O17-O18-O19-O20-O21-O22-O23-O24-O25-O26-O27</f>
        <v>776608.85</v>
      </c>
      <c r="P28" s="5" t="n">
        <f aca="false">P17-P18-P19-P20-P21-P22-P23-P24-P25-P26-P27</f>
        <v>807294.12</v>
      </c>
      <c r="Q28" s="5" t="n">
        <f aca="false">Q17-Q18-Q19-Q20-Q21-Q22-Q23-Q24-Q25-Q26-Q27</f>
        <v>839607.77</v>
      </c>
      <c r="R28" s="5" t="n">
        <f aca="false">R17-R18-R19-R20-R21-R22-R23-R24-R25-R26-R27</f>
        <v>815678.17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LibreOffice/5.3.3.2$Linux_X86_64 LibreOffice_project/3d9a8b4b4e538a85e0782bd6c2d430bafe583448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2017-06-28T16:50:40Z</dcterms:created>
  <dc:creator>Everton da Rosa</dc:creator>
  <dc:description/>
  <dc:language>pt-BR</dc:language>
  <cp:lastModifiedBy>Everton da Rosa</cp:lastModifiedBy>
  <dcterms:modified xsi:type="dcterms:W3CDTF">2017-06-28T16:51:25Z</dcterms:modified>
  <cp:revision>1</cp:revision>
  <dc:subject/>
  <dc:title/>
</cp:coreProperties>
</file>