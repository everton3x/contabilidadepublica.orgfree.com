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erton\Documents\Prefeitura\2015\Contabilidade\DCASP\"/>
    </mc:Choice>
  </mc:AlternateContent>
  <bookViews>
    <workbookView xWindow="0" yWindow="0" windowWidth="20490" windowHeight="7755" activeTab="6"/>
  </bookViews>
  <sheets>
    <sheet name="BO-REC" sheetId="1" r:id="rId1"/>
    <sheet name="BO-DESP" sheetId="2" r:id="rId2"/>
    <sheet name="BF" sheetId="3" r:id="rId3"/>
    <sheet name="DVP" sheetId="4" r:id="rId4"/>
    <sheet name="BP" sheetId="5" r:id="rId5"/>
    <sheet name="DFC" sheetId="6" r:id="rId6"/>
    <sheet name="Validação" sheetId="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2" l="1"/>
  <c r="E53" i="3" l="1"/>
  <c r="F53" i="3"/>
  <c r="C53" i="3"/>
  <c r="B53" i="3"/>
  <c r="E36" i="3"/>
  <c r="D36" i="3"/>
  <c r="C36" i="3"/>
  <c r="E43" i="3" l="1"/>
  <c r="D53" i="3"/>
  <c r="D16" i="8" l="1"/>
  <c r="B24" i="6"/>
  <c r="F95" i="5" l="1"/>
  <c r="F93" i="5"/>
  <c r="F84" i="5"/>
  <c r="F81" i="5"/>
  <c r="F75" i="5"/>
  <c r="F74" i="5"/>
  <c r="F69" i="5"/>
  <c r="F50" i="5"/>
  <c r="E50" i="5" l="1"/>
  <c r="G73" i="2" l="1"/>
  <c r="G72" i="2"/>
  <c r="G70" i="2"/>
  <c r="F71" i="2"/>
  <c r="E71" i="2"/>
  <c r="D71" i="2"/>
  <c r="C71" i="2"/>
  <c r="F69" i="2"/>
  <c r="F74" i="2" s="1"/>
  <c r="E69" i="2"/>
  <c r="E74" i="2" s="1"/>
  <c r="D69" i="2"/>
  <c r="D74" i="2" s="1"/>
  <c r="C69" i="2"/>
  <c r="B71" i="2"/>
  <c r="B69" i="2"/>
  <c r="D64" i="2"/>
  <c r="D63" i="2" s="1"/>
  <c r="D62" i="2" s="1"/>
  <c r="C64" i="2"/>
  <c r="C63" i="2" s="1"/>
  <c r="C62" i="2" s="1"/>
  <c r="B64" i="2"/>
  <c r="B63" i="2" s="1"/>
  <c r="B62" i="2" s="1"/>
  <c r="C59" i="2"/>
  <c r="D60" i="2"/>
  <c r="D59" i="2" s="1"/>
  <c r="C60" i="2"/>
  <c r="B60" i="2"/>
  <c r="B59" i="2" s="1"/>
  <c r="D55" i="2"/>
  <c r="C55" i="2"/>
  <c r="C54" i="2" s="1"/>
  <c r="B55" i="2"/>
  <c r="B54" i="2" s="1"/>
  <c r="E65" i="2"/>
  <c r="E61" i="2"/>
  <c r="E58" i="2"/>
  <c r="E57" i="2"/>
  <c r="E56" i="2"/>
  <c r="G36" i="2"/>
  <c r="G35" i="2"/>
  <c r="G34" i="2"/>
  <c r="G32" i="2"/>
  <c r="G31" i="2"/>
  <c r="G30" i="2"/>
  <c r="G71" i="2" l="1"/>
  <c r="B74" i="2"/>
  <c r="E59" i="2"/>
  <c r="G69" i="2"/>
  <c r="C74" i="2"/>
  <c r="G74" i="2" s="1"/>
  <c r="B53" i="2"/>
  <c r="B66" i="2" s="1"/>
  <c r="C53" i="2"/>
  <c r="C66" i="2" s="1"/>
  <c r="E64" i="2"/>
  <c r="E55" i="2"/>
  <c r="E60" i="2"/>
  <c r="D54" i="2"/>
  <c r="D53" i="2" s="1"/>
  <c r="D66" i="2" s="1"/>
  <c r="E66" i="2" s="1"/>
  <c r="E62" i="2"/>
  <c r="E63" i="2"/>
  <c r="B15" i="8"/>
  <c r="D11" i="8"/>
  <c r="B9" i="8"/>
  <c r="D6" i="8"/>
  <c r="D5" i="8"/>
  <c r="E53" i="2" l="1"/>
  <c r="E54" i="2"/>
  <c r="F49" i="5"/>
  <c r="D109" i="5"/>
  <c r="D108" i="5"/>
  <c r="D107" i="5"/>
  <c r="D106" i="5"/>
  <c r="D105" i="5"/>
  <c r="D104" i="5"/>
  <c r="D103" i="5"/>
  <c r="D102" i="5"/>
  <c r="D101" i="5"/>
  <c r="C110" i="5"/>
  <c r="B110" i="5"/>
  <c r="D110" i="5" l="1"/>
  <c r="F96" i="5" l="1"/>
  <c r="F94" i="5"/>
  <c r="F92" i="5"/>
  <c r="F91" i="5"/>
  <c r="F90" i="5"/>
  <c r="F89" i="5"/>
  <c r="F88" i="5"/>
  <c r="F87" i="5"/>
  <c r="F86" i="5"/>
  <c r="F83" i="5"/>
  <c r="F82" i="5"/>
  <c r="F80" i="5"/>
  <c r="F79" i="5"/>
  <c r="F78" i="5"/>
  <c r="F77" i="5"/>
  <c r="F76" i="5"/>
  <c r="F73" i="5"/>
  <c r="F72" i="5"/>
  <c r="F71" i="5"/>
  <c r="F70" i="5"/>
  <c r="F68" i="5"/>
  <c r="F67" i="5"/>
  <c r="F66" i="5"/>
  <c r="F64" i="5"/>
  <c r="F63" i="5"/>
  <c r="B97" i="5"/>
  <c r="F85" i="5"/>
  <c r="D97" i="5"/>
  <c r="C97" i="5"/>
  <c r="F62" i="5"/>
  <c r="F65" i="5" l="1"/>
  <c r="F97" i="5" s="1"/>
  <c r="E97" i="5"/>
  <c r="B16" i="8" l="1"/>
  <c r="F7" i="3"/>
  <c r="C7" i="3"/>
  <c r="C5" i="3" s="1"/>
  <c r="C17" i="3" s="1"/>
  <c r="F49" i="2"/>
  <c r="F48" i="2"/>
  <c r="F47" i="2"/>
  <c r="F45" i="2"/>
  <c r="F44" i="2"/>
  <c r="F43" i="2"/>
  <c r="E7" i="3" l="1"/>
  <c r="D9" i="8" l="1"/>
  <c r="E2" i="2" l="1"/>
  <c r="A2" i="2"/>
  <c r="F58" i="5" l="1"/>
  <c r="E58" i="5"/>
  <c r="C58" i="5"/>
  <c r="B58" i="5"/>
  <c r="E9" i="8" l="1"/>
  <c r="F31" i="3" l="1"/>
  <c r="C31" i="3"/>
  <c r="F5" i="3"/>
  <c r="F17" i="3" s="1"/>
  <c r="G82" i="2"/>
  <c r="F82" i="2"/>
  <c r="E82" i="2"/>
  <c r="D82" i="2"/>
  <c r="C82" i="2"/>
  <c r="B5" i="8" s="1"/>
  <c r="B82" i="2"/>
  <c r="B13" i="8" l="1"/>
  <c r="D13" i="8"/>
  <c r="B12" i="8"/>
  <c r="D12" i="8"/>
  <c r="B6" i="8"/>
  <c r="E6" i="8" s="1"/>
  <c r="B4" i="8"/>
  <c r="G89" i="2"/>
  <c r="E5" i="8"/>
  <c r="E13" i="8" l="1"/>
  <c r="E12" i="8"/>
  <c r="C73" i="6"/>
  <c r="C71" i="6"/>
  <c r="B73" i="6"/>
  <c r="B71" i="6"/>
  <c r="C64" i="6"/>
  <c r="C60" i="6"/>
  <c r="B64" i="6"/>
  <c r="B60" i="6"/>
  <c r="C52" i="6"/>
  <c r="C51" i="6" s="1"/>
  <c r="C47" i="6"/>
  <c r="C26" i="6"/>
  <c r="C18" i="6"/>
  <c r="C17" i="6" s="1"/>
  <c r="C10" i="6"/>
  <c r="C6" i="6"/>
  <c r="B52" i="6"/>
  <c r="B51" i="6" s="1"/>
  <c r="B47" i="6"/>
  <c r="B26" i="6"/>
  <c r="B18" i="6"/>
  <c r="B17" i="6" s="1"/>
  <c r="B2" i="6"/>
  <c r="A2" i="6"/>
  <c r="F37" i="5"/>
  <c r="F42" i="5" s="1"/>
  <c r="F19" i="5"/>
  <c r="E19" i="5"/>
  <c r="F5" i="5"/>
  <c r="E5" i="5"/>
  <c r="F114" i="5" s="1"/>
  <c r="C38" i="5"/>
  <c r="C33" i="5"/>
  <c r="C32" i="5" s="1"/>
  <c r="C21" i="5"/>
  <c r="C20" i="5" s="1"/>
  <c r="B38" i="5"/>
  <c r="B33" i="5"/>
  <c r="B32" i="5" s="1"/>
  <c r="B21" i="5"/>
  <c r="B20" i="5" s="1"/>
  <c r="C7" i="5"/>
  <c r="C5" i="5" s="1"/>
  <c r="B7" i="5"/>
  <c r="C38" i="4"/>
  <c r="C34" i="4"/>
  <c r="C25" i="4"/>
  <c r="C18" i="4"/>
  <c r="C14" i="4"/>
  <c r="C9" i="4"/>
  <c r="C5" i="4"/>
  <c r="C84" i="4"/>
  <c r="C80" i="4"/>
  <c r="C76" i="4"/>
  <c r="C68" i="4"/>
  <c r="C62" i="4"/>
  <c r="C57" i="4"/>
  <c r="C50" i="4"/>
  <c r="C44" i="4"/>
  <c r="B84" i="4"/>
  <c r="B80" i="4"/>
  <c r="B76" i="4"/>
  <c r="B68" i="4"/>
  <c r="B62" i="4"/>
  <c r="B57" i="4"/>
  <c r="B50" i="4"/>
  <c r="B44" i="4"/>
  <c r="B38" i="4"/>
  <c r="B34" i="4"/>
  <c r="B25" i="4"/>
  <c r="B18" i="4"/>
  <c r="B14" i="4"/>
  <c r="B9" i="4"/>
  <c r="B5" i="4"/>
  <c r="D2" i="5"/>
  <c r="A2" i="5"/>
  <c r="B2" i="4"/>
  <c r="A2" i="4"/>
  <c r="D2" i="3"/>
  <c r="A2" i="3"/>
  <c r="B25" i="6" l="1"/>
  <c r="C25" i="6"/>
  <c r="C69" i="6"/>
  <c r="C75" i="6"/>
  <c r="B75" i="6"/>
  <c r="C5" i="6"/>
  <c r="F28" i="5"/>
  <c r="C43" i="4"/>
  <c r="C4" i="4"/>
  <c r="C93" i="4" s="1"/>
  <c r="B69" i="6"/>
  <c r="F45" i="5"/>
  <c r="C19" i="5"/>
  <c r="C45" i="5" s="1"/>
  <c r="F116" i="5"/>
  <c r="B19" i="5"/>
  <c r="B5" i="5"/>
  <c r="F115" i="5" s="1"/>
  <c r="F120" i="5"/>
  <c r="E28" i="5"/>
  <c r="B4" i="4"/>
  <c r="B43" i="4"/>
  <c r="E46" i="2"/>
  <c r="D46" i="2"/>
  <c r="C46" i="2"/>
  <c r="B46" i="2"/>
  <c r="E42" i="2"/>
  <c r="D42" i="2"/>
  <c r="C42" i="2"/>
  <c r="B42" i="2"/>
  <c r="F33" i="2"/>
  <c r="E33" i="2"/>
  <c r="D33" i="2"/>
  <c r="C33" i="2"/>
  <c r="F29" i="2"/>
  <c r="F37" i="2" s="1"/>
  <c r="E29" i="2"/>
  <c r="E37" i="2" s="1"/>
  <c r="D29" i="2"/>
  <c r="C29" i="2"/>
  <c r="C37" i="2" s="1"/>
  <c r="B33" i="2"/>
  <c r="B29" i="2"/>
  <c r="G21" i="2"/>
  <c r="G20" i="2"/>
  <c r="G18" i="2"/>
  <c r="G17" i="2"/>
  <c r="G13" i="2"/>
  <c r="G12" i="2"/>
  <c r="G11" i="2"/>
  <c r="G10" i="2"/>
  <c r="G9" i="2"/>
  <c r="G7" i="2"/>
  <c r="G6" i="2"/>
  <c r="G5" i="2"/>
  <c r="F19" i="2"/>
  <c r="E19" i="2"/>
  <c r="D19" i="2"/>
  <c r="C19" i="2"/>
  <c r="F16" i="2"/>
  <c r="E16" i="2"/>
  <c r="D16" i="2"/>
  <c r="C16" i="2"/>
  <c r="F15" i="2"/>
  <c r="E15" i="2"/>
  <c r="D15" i="2"/>
  <c r="C15" i="2"/>
  <c r="F8" i="2"/>
  <c r="E8" i="2"/>
  <c r="D8" i="2"/>
  <c r="C8" i="2"/>
  <c r="F4" i="2"/>
  <c r="F14" i="2" s="1"/>
  <c r="E5" i="3" s="1"/>
  <c r="E4" i="2"/>
  <c r="E14" i="2" s="1"/>
  <c r="E22" i="2" s="1"/>
  <c r="E24" i="2" s="1"/>
  <c r="D4" i="2"/>
  <c r="C4" i="2"/>
  <c r="B19" i="2"/>
  <c r="B16" i="2"/>
  <c r="B8" i="2"/>
  <c r="B4" i="2"/>
  <c r="E72" i="1"/>
  <c r="E71" i="1"/>
  <c r="E69" i="1"/>
  <c r="E68" i="1"/>
  <c r="E64" i="1"/>
  <c r="E63" i="1"/>
  <c r="E62" i="1"/>
  <c r="E61" i="1"/>
  <c r="E59" i="1"/>
  <c r="E58" i="1"/>
  <c r="E57" i="1"/>
  <c r="E56" i="1"/>
  <c r="E55" i="1"/>
  <c r="E54" i="1"/>
  <c r="E53" i="1"/>
  <c r="E51" i="1"/>
  <c r="E50" i="1"/>
  <c r="E49" i="1"/>
  <c r="E47" i="1"/>
  <c r="E46" i="1"/>
  <c r="E43" i="1"/>
  <c r="E42" i="1"/>
  <c r="E41" i="1"/>
  <c r="E40" i="1"/>
  <c r="E39" i="1"/>
  <c r="E37" i="1"/>
  <c r="E36" i="1"/>
  <c r="E35" i="1"/>
  <c r="E34" i="1"/>
  <c r="E33" i="1"/>
  <c r="E32" i="1"/>
  <c r="E30" i="1"/>
  <c r="E29" i="1"/>
  <c r="E28" i="1"/>
  <c r="E27" i="1"/>
  <c r="E26" i="1"/>
  <c r="E24" i="1"/>
  <c r="E23" i="1"/>
  <c r="E22" i="1"/>
  <c r="E21" i="1"/>
  <c r="E20" i="1"/>
  <c r="E19" i="1"/>
  <c r="E18" i="1"/>
  <c r="E17" i="1"/>
  <c r="E16" i="1"/>
  <c r="E15" i="1"/>
  <c r="E14" i="1"/>
  <c r="E12" i="1"/>
  <c r="E11" i="1"/>
  <c r="E10" i="1"/>
  <c r="E8" i="1"/>
  <c r="E7" i="1"/>
  <c r="E6" i="1"/>
  <c r="D76" i="1"/>
  <c r="D70" i="1"/>
  <c r="E70" i="1" s="1"/>
  <c r="C70" i="1"/>
  <c r="D67" i="1"/>
  <c r="D66" i="1" s="1"/>
  <c r="E66" i="1" s="1"/>
  <c r="C67" i="1"/>
  <c r="C66" i="1" s="1"/>
  <c r="D60" i="1"/>
  <c r="C60" i="1"/>
  <c r="D52" i="1"/>
  <c r="C52" i="1"/>
  <c r="D48" i="1"/>
  <c r="C48" i="1"/>
  <c r="D45" i="1"/>
  <c r="C45" i="1"/>
  <c r="E45" i="1" s="1"/>
  <c r="D38" i="1"/>
  <c r="C38" i="1"/>
  <c r="D31" i="1"/>
  <c r="C31" i="1"/>
  <c r="D25" i="1"/>
  <c r="C25" i="1"/>
  <c r="E25" i="1" s="1"/>
  <c r="D21" i="1"/>
  <c r="C21" i="1"/>
  <c r="D13" i="1"/>
  <c r="C13" i="1"/>
  <c r="E13" i="1" s="1"/>
  <c r="D9" i="1"/>
  <c r="B6" i="6" s="1"/>
  <c r="C9" i="1"/>
  <c r="D5" i="1"/>
  <c r="C5" i="1"/>
  <c r="B70" i="1"/>
  <c r="B66" i="1" s="1"/>
  <c r="B67" i="1"/>
  <c r="B60" i="1"/>
  <c r="B52" i="1"/>
  <c r="B48" i="1"/>
  <c r="B45" i="1"/>
  <c r="B38" i="1"/>
  <c r="B31" i="1"/>
  <c r="B25" i="1"/>
  <c r="B21" i="1"/>
  <c r="B13" i="1"/>
  <c r="B9" i="1"/>
  <c r="B5" i="1"/>
  <c r="E67" i="1" l="1"/>
  <c r="B44" i="1"/>
  <c r="C58" i="6"/>
  <c r="C77" i="6" s="1"/>
  <c r="B15" i="2"/>
  <c r="G29" i="2"/>
  <c r="G33" i="2"/>
  <c r="E38" i="1"/>
  <c r="E52" i="1"/>
  <c r="D8" i="8"/>
  <c r="B45" i="5"/>
  <c r="F118" i="5"/>
  <c r="F117" i="5"/>
  <c r="E16" i="8"/>
  <c r="E60" i="1"/>
  <c r="E48" i="1"/>
  <c r="C44" i="1"/>
  <c r="F42" i="2"/>
  <c r="D50" i="2"/>
  <c r="C50" i="2"/>
  <c r="F46" i="2"/>
  <c r="D37" i="2"/>
  <c r="D14" i="2"/>
  <c r="D22" i="2" s="1"/>
  <c r="C14" i="2"/>
  <c r="C22" i="2" s="1"/>
  <c r="C24" i="2" s="1"/>
  <c r="D44" i="1"/>
  <c r="B10" i="6"/>
  <c r="E31" i="1"/>
  <c r="E5" i="1"/>
  <c r="B93" i="4"/>
  <c r="B4" i="1"/>
  <c r="C102" i="4"/>
  <c r="F22" i="2"/>
  <c r="F24" i="2" s="1"/>
  <c r="B8" i="8" s="1"/>
  <c r="G19" i="2"/>
  <c r="B14" i="2"/>
  <c r="B22" i="2" s="1"/>
  <c r="B24" i="2" s="1"/>
  <c r="G8" i="2"/>
  <c r="G15" i="2"/>
  <c r="G16" i="2"/>
  <c r="B50" i="2"/>
  <c r="E50" i="2"/>
  <c r="B37" i="2"/>
  <c r="G37" i="2" s="1"/>
  <c r="D4" i="1"/>
  <c r="G92" i="2" s="1"/>
  <c r="E9" i="1"/>
  <c r="C4" i="1"/>
  <c r="G4" i="2"/>
  <c r="B5" i="6" l="1"/>
  <c r="B58" i="6" s="1"/>
  <c r="B65" i="1"/>
  <c r="B73" i="1" s="1"/>
  <c r="B75" i="1" s="1"/>
  <c r="B14" i="8"/>
  <c r="D4" i="8"/>
  <c r="E4" i="8" s="1"/>
  <c r="F119" i="5"/>
  <c r="E8" i="8"/>
  <c r="C65" i="1"/>
  <c r="C73" i="1" s="1"/>
  <c r="E44" i="1"/>
  <c r="G14" i="2"/>
  <c r="F50" i="2"/>
  <c r="G85" i="2"/>
  <c r="G90" i="2"/>
  <c r="G22" i="2"/>
  <c r="G24" i="2" s="1"/>
  <c r="D65" i="1"/>
  <c r="E4" i="1"/>
  <c r="C84" i="6" l="1"/>
  <c r="C83" i="6"/>
  <c r="B77" i="6"/>
  <c r="E37" i="5"/>
  <c r="E42" i="5" s="1"/>
  <c r="D14" i="8"/>
  <c r="E14" i="8" s="1"/>
  <c r="D15" i="8"/>
  <c r="E15" i="8" s="1"/>
  <c r="D10" i="8"/>
  <c r="C85" i="6"/>
  <c r="G87" i="2"/>
  <c r="G86" i="2"/>
  <c r="E65" i="1"/>
  <c r="G93" i="2"/>
  <c r="G91" i="2"/>
  <c r="D73" i="1"/>
  <c r="C75" i="1"/>
  <c r="D24" i="2" l="1"/>
  <c r="B7" i="8"/>
  <c r="E45" i="5"/>
  <c r="E49" i="5" s="1"/>
  <c r="E73" i="1"/>
  <c r="G88" i="2" s="1"/>
  <c r="D74" i="1"/>
  <c r="D75" i="1" s="1"/>
  <c r="B7" i="3"/>
  <c r="B5" i="3" s="1"/>
  <c r="B17" i="3" l="1"/>
  <c r="E17" i="3"/>
  <c r="D7" i="8"/>
  <c r="E7" i="8" s="1"/>
  <c r="B11" i="8" l="1"/>
  <c r="E11" i="8" s="1"/>
  <c r="B10" i="8"/>
  <c r="E10" i="8" s="1"/>
  <c r="F57" i="3"/>
  <c r="F58" i="3"/>
</calcChain>
</file>

<file path=xl/sharedStrings.xml><?xml version="1.0" encoding="utf-8"?>
<sst xmlns="http://schemas.openxmlformats.org/spreadsheetml/2006/main" count="634" uniqueCount="496">
  <si>
    <t>BALANÇO ORÇAMENTÁRIO</t>
  </si>
  <si>
    <t>RECEITAS ORÇAMENTÁRIAS</t>
  </si>
  <si>
    <t>PREVISÃO INICIAL</t>
  </si>
  <si>
    <t>PREVISÃO ATUALIZADA (a)</t>
  </si>
  <si>
    <t>RECEITAS REALIZADAS (b)</t>
  </si>
  <si>
    <t>SALDO (c = b-a)</t>
  </si>
  <si>
    <t>RECETAS CORRENTES</t>
  </si>
  <si>
    <t>RECEITA TRIBUTÁRIA</t>
  </si>
  <si>
    <t>Impostos</t>
  </si>
  <si>
    <t>Taxas</t>
  </si>
  <si>
    <t>Contribuição de melhoria</t>
  </si>
  <si>
    <t>RECEITA DE CONTRIBUIÇÕES</t>
  </si>
  <si>
    <t>Contribuição social</t>
  </si>
  <si>
    <t>Contribuição de intervenção no domínio econômico</t>
  </si>
  <si>
    <t>RECEITA PATRIMONIAL</t>
  </si>
  <si>
    <t>Receitas imobiliárias</t>
  </si>
  <si>
    <t>Receitas de valores mobiliários</t>
  </si>
  <si>
    <t>Receitas de concessões e permissões</t>
  </si>
  <si>
    <t>Compensações financeiras</t>
  </si>
  <si>
    <t>Receita decorrente do direito de exploração de bens públicos em áreas de domínio público</t>
  </si>
  <si>
    <t>Receita de cessão de direitos</t>
  </si>
  <si>
    <t>Outras receitas patrimoniais</t>
  </si>
  <si>
    <t>RECEITA AGROPECUÁRIA</t>
  </si>
  <si>
    <t>Receita da produção vegetal</t>
  </si>
  <si>
    <t>Receita da produção animal e derivados</t>
  </si>
  <si>
    <t>Outras receitas agropecuárias</t>
  </si>
  <si>
    <t>RECEITA INDUSTRIAL</t>
  </si>
  <si>
    <t>Receita da indústria extrativa mineral</t>
  </si>
  <si>
    <t>Receita da indústria de transformação</t>
  </si>
  <si>
    <t>Receita da indústria de construção</t>
  </si>
  <si>
    <t>Outras receitas industriais</t>
  </si>
  <si>
    <t>RECEITA DE SERVIÇOS</t>
  </si>
  <si>
    <t>TRANSFERÊNCIAS CORRENTES</t>
  </si>
  <si>
    <t>Transferências intergovernamentais</t>
  </si>
  <si>
    <t>Transferências de instituições privadas</t>
  </si>
  <si>
    <t>Transferências do exterior</t>
  </si>
  <si>
    <t>Transferências de pessoas</t>
  </si>
  <si>
    <t>Transferências de convênios</t>
  </si>
  <si>
    <t>Transferências para o combate à fome</t>
  </si>
  <si>
    <t>OUTRAS RECEITAS CORRENTES</t>
  </si>
  <si>
    <t>Multas e juros de mora</t>
  </si>
  <si>
    <t>Indenizações e restituições</t>
  </si>
  <si>
    <t>Receita da dívida ativa</t>
  </si>
  <si>
    <t>Receitas decorrentes de aportes periódicos para amortização de déficit atuarial do RPPS</t>
  </si>
  <si>
    <t>Receitas correntes diversas</t>
  </si>
  <si>
    <t>RECEITAS DE CAPITAL</t>
  </si>
  <si>
    <t>OPERAÇÕES E CRÉDITO</t>
  </si>
  <si>
    <t>Operações de crédito internas</t>
  </si>
  <si>
    <t>Operações de crédito externas</t>
  </si>
  <si>
    <t>ALIENAÇÃO DE BENS</t>
  </si>
  <si>
    <t>Alienação de bens móveis</t>
  </si>
  <si>
    <t>Alienação de bens imóveis</t>
  </si>
  <si>
    <t>AMORTIZAÇÃO DE EMPRÉSTIMOS</t>
  </si>
  <si>
    <t>TRANSFERÊNCIA DE CAPITAL</t>
  </si>
  <si>
    <t>Transferências de outras instituições públicas</t>
  </si>
  <si>
    <t>OUTRAS RECEITAS DE CAPITAL</t>
  </si>
  <si>
    <t>Integralização de capital social</t>
  </si>
  <si>
    <t>Dívida ativa proveniente da amortização de empréstimos e financiamentos</t>
  </si>
  <si>
    <t>Restituições</t>
  </si>
  <si>
    <t>Receitas de capital diversas</t>
  </si>
  <si>
    <t>SUBTOTAL DAS RECEITAS (I)</t>
  </si>
  <si>
    <t>REFINANCIAMENTO (II)</t>
  </si>
  <si>
    <t>Mobiliária</t>
  </si>
  <si>
    <t>Contratual</t>
  </si>
  <si>
    <t>SUBTOTAL COM REFINANCIAMENTO (III = I+II)</t>
  </si>
  <si>
    <t>DEFICIT (IV)</t>
  </si>
  <si>
    <t>TOTAL (V=III+IV)</t>
  </si>
  <si>
    <t>SALDOS DE EXERCÍCIOS ANTERIORES (UTILIZADOS PARA CRÉDITOS ADICIONAIS)</t>
  </si>
  <si>
    <t>Superávit financeiro</t>
  </si>
  <si>
    <t>Reabertura de créditos adicionais</t>
  </si>
  <si>
    <t>DESPESAS ORÇAMENTÁRIAS</t>
  </si>
  <si>
    <t>DOTAÇÃO INICIAL (d)</t>
  </si>
  <si>
    <t>DOTAÇÃO ATUALIZADA (e)</t>
  </si>
  <si>
    <t>DESPESAS EMPENHADAS (f)</t>
  </si>
  <si>
    <t>DESPESAS PAGAS (h)</t>
  </si>
  <si>
    <t>DESPESAS CORRENTES</t>
  </si>
  <si>
    <t>PESSOAL E ENCARGOS SOCIAIS</t>
  </si>
  <si>
    <t>JUROS E ENCARGOS DA DÍVIDA</t>
  </si>
  <si>
    <t>OUTRAS DESPESAS CORRENTES</t>
  </si>
  <si>
    <t>DESPESAS DE CAPITAL</t>
  </si>
  <si>
    <t>INVESTIMENTOS</t>
  </si>
  <si>
    <t>INVERSÕES FINANCEIRAS</t>
  </si>
  <si>
    <t>AMORTIZAÇÃO DA DÍVIDA</t>
  </si>
  <si>
    <t>RESERVA DE CONTINGÊNCIA</t>
  </si>
  <si>
    <t>RESERVA DO RPPS</t>
  </si>
  <si>
    <t>SUBTOTAL DAS DESPESAS (VI)</t>
  </si>
  <si>
    <t>AMORTIZAÇÃO DA DÍVIDA/REFINANCIAMENTO (VII)</t>
  </si>
  <si>
    <t>Amortização da dívida interna</t>
  </si>
  <si>
    <t>Dívida mobiliária</t>
  </si>
  <si>
    <t>Outras dívidas</t>
  </si>
  <si>
    <t>Amortização da dívida externa</t>
  </si>
  <si>
    <t>SUBTOTAL COM REFINANCIAMENTO (VIII=VI+VII)</t>
  </si>
  <si>
    <t>SUPERÁVIT (IX)</t>
  </si>
  <si>
    <t>ANEXO I - DEMONTRATIVO DE EXECUÇÃO DOS RESTOS A PAGAR NÃO PROCESSADOS</t>
  </si>
  <si>
    <t>RESTOS A PAGAR NÃO PROCESSADOS</t>
  </si>
  <si>
    <t>INSCRITOS</t>
  </si>
  <si>
    <t>EM EXERCÍCIOS ANTERIORES (a)</t>
  </si>
  <si>
    <t>EM 31 DE DEZ. DO EXERC. ANTERIOR (b)</t>
  </si>
  <si>
    <t>PAGOS (d)</t>
  </si>
  <si>
    <t>CANCELADOS (e)</t>
  </si>
  <si>
    <t>LIQUIDADOS (c)</t>
  </si>
  <si>
    <t>TOTAL</t>
  </si>
  <si>
    <t>ANEXO II - DEMONTRATIVO DE EXECUÇÃO DOS RESTOS A PAGAR PROCESSADOS E NÃO PROCESSADOS LIQUIDADOS</t>
  </si>
  <si>
    <t>RESTOS A PAGAR PROCESSADOS E NÃO PROCESSADOS LIQUIDADOS</t>
  </si>
  <si>
    <t>BALANÇO FINANCEIRO</t>
  </si>
  <si>
    <t>INGRESSOS</t>
  </si>
  <si>
    <t>ESPECIFICAÇÃO</t>
  </si>
  <si>
    <t>DISPÊNDIOS</t>
  </si>
  <si>
    <t>Receita Orçamentária (I)</t>
  </si>
  <si>
    <t>Ordinária</t>
  </si>
  <si>
    <t>Vinculada</t>
  </si>
  <si>
    <t>Transferências financeiras recebidas (II)</t>
  </si>
  <si>
    <t>Despesa Orçamentaria (VI)</t>
  </si>
  <si>
    <t>Previdência Social</t>
  </si>
  <si>
    <t>DEMONSTRAÇÃO DAS VARIAÇÕES PATRIMONIAIS</t>
  </si>
  <si>
    <t>VARIAÇÕES PATRIMONIAIS QUANTITATIVAS</t>
  </si>
  <si>
    <t>Exercício Atual</t>
  </si>
  <si>
    <t>Exercício Anterior</t>
  </si>
  <si>
    <t>VARIAÇÕES PATRIMONIAIS AUMENTATIVAS</t>
  </si>
  <si>
    <t>Impostos, taxas e contribuições de melhoria</t>
  </si>
  <si>
    <t>Contribuições de melhoria</t>
  </si>
  <si>
    <t>Contribuições</t>
  </si>
  <si>
    <t>Contribuições sociais</t>
  </si>
  <si>
    <t>Contribuições de intervenção no domínio econômico</t>
  </si>
  <si>
    <t>Contribuição de iluminação pública</t>
  </si>
  <si>
    <t>Contribuição de interesse de categorias profissionais</t>
  </si>
  <si>
    <t>Exploração e venda de bens, serviços e direitos</t>
  </si>
  <si>
    <t>Venda de mercadorias</t>
  </si>
  <si>
    <t>Venda de produtos</t>
  </si>
  <si>
    <t>Exploração de bens, direitos e prestação de serviços</t>
  </si>
  <si>
    <t>Variações patrimoniais aumentativas financeiras</t>
  </si>
  <si>
    <t>Juros e encargos de empréstimos e financiamentos concedidos</t>
  </si>
  <si>
    <t>Juros e encargos de mora</t>
  </si>
  <si>
    <t>Variações monetárias e cambiais</t>
  </si>
  <si>
    <t>Descontos financeiros obtidos</t>
  </si>
  <si>
    <t>Remuneração de depósitos bancários e aplicações financeiras</t>
  </si>
  <si>
    <t>Outras variações aumentativas - financeiras</t>
  </si>
  <si>
    <t>Transferências e delegações recebidas</t>
  </si>
  <si>
    <t>Transferências intragovernamentais</t>
  </si>
  <si>
    <t>Transferências das instituições privadas</t>
  </si>
  <si>
    <t>Transferências das instituições multigovernamentais</t>
  </si>
  <si>
    <t>Transferências de consórcios públicos</t>
  </si>
  <si>
    <t>Delegações recebidas</t>
  </si>
  <si>
    <t>Transferências de pessoas físicas</t>
  </si>
  <si>
    <t>Valorização e ganhos com ativos</t>
  </si>
  <si>
    <t>Reavaliação de ativos</t>
  </si>
  <si>
    <t>Ganhos com alienação</t>
  </si>
  <si>
    <t>Ganhos com incorporação de ativos por descobertas e nascimentos</t>
  </si>
  <si>
    <t>Outras variações patrimoniais aumentativas</t>
  </si>
  <si>
    <t>Variação patrimonial aumentativa a classificar</t>
  </si>
  <si>
    <t>Resultado positivo de participações</t>
  </si>
  <si>
    <t>Reversão de provisões e ajustes de perdas</t>
  </si>
  <si>
    <t>Diversas variações patrimoniais aumentativas</t>
  </si>
  <si>
    <t>VARIAÇÕES PATRIMONIAIS DIMINUTIVAS</t>
  </si>
  <si>
    <t>Pessoal e encargos</t>
  </si>
  <si>
    <t>Encargos patronais</t>
  </si>
  <si>
    <t>Benefícios a pessoal</t>
  </si>
  <si>
    <t>Custo de pessoal e encargos</t>
  </si>
  <si>
    <t>Outras variações patrimoniais diminutivas - pessoal e encargos</t>
  </si>
  <si>
    <t>Benefícios previdenciários e assistenciais</t>
  </si>
  <si>
    <t>Aposentadorias e reformas</t>
  </si>
  <si>
    <t>Pensões</t>
  </si>
  <si>
    <t>Benefícios eventuais</t>
  </si>
  <si>
    <t>Políticas públicas de transferência de renda</t>
  </si>
  <si>
    <t>Outros benefícios previdenciários e assistenciais</t>
  </si>
  <si>
    <t>Uso de bens, serviços e consumo de capital fixo</t>
  </si>
  <si>
    <t>Uso de material de consumo</t>
  </si>
  <si>
    <t>Serviços</t>
  </si>
  <si>
    <t>Depreciação, amortização e exaustão</t>
  </si>
  <si>
    <t>Custo de materiais, serviços e consumo de capital fixo</t>
  </si>
  <si>
    <t>Variações patrimoniais diminutivas financeiras</t>
  </si>
  <si>
    <t>Juros e encargos de empréstimos e financiamentos obtidos</t>
  </si>
  <si>
    <t>Descontos financeiros concedidos</t>
  </si>
  <si>
    <t>Outras variações patrimoniais diminutivas - financeiras</t>
  </si>
  <si>
    <t>Transferências e delegações concedidas</t>
  </si>
  <si>
    <t>Transferências a instituições privadas</t>
  </si>
  <si>
    <t>Transferências a instituições multigovernamentais</t>
  </si>
  <si>
    <t>Transferências a consórcios públicos</t>
  </si>
  <si>
    <t>Transferências ao exterior</t>
  </si>
  <si>
    <t>Delegações concedidas</t>
  </si>
  <si>
    <t>Desvalorização e perda de ativos</t>
  </si>
  <si>
    <t>Redução a valor recuperável e provisão para perdas</t>
  </si>
  <si>
    <t>Perdas com alienação</t>
  </si>
  <si>
    <t>Perdas involuntárias</t>
  </si>
  <si>
    <t>Tributárias</t>
  </si>
  <si>
    <t>Custo com tributos</t>
  </si>
  <si>
    <t>Outras variações patrimoniais diminutivas</t>
  </si>
  <si>
    <t>Premiações</t>
  </si>
  <si>
    <t>Resultado negativo de participações</t>
  </si>
  <si>
    <t>Incentivos</t>
  </si>
  <si>
    <t>Subvenções econômicas</t>
  </si>
  <si>
    <t>Participações e contribuições</t>
  </si>
  <si>
    <t>VPD de constituição de provisões</t>
  </si>
  <si>
    <t>Custo de outras VPD</t>
  </si>
  <si>
    <t>Diversas variações patrimoniais diminutivas</t>
  </si>
  <si>
    <t>Resultado Patrimonial do período</t>
  </si>
  <si>
    <t>Incorporação de ativo</t>
  </si>
  <si>
    <t>Desincorporação de passivo</t>
  </si>
  <si>
    <t>Incorporação de passivo</t>
  </si>
  <si>
    <t>Desincorporação de ativo</t>
  </si>
  <si>
    <t>BALANÇO PATRIMONIAL</t>
  </si>
  <si>
    <t>ATIVO</t>
  </si>
  <si>
    <t>PASSIVO</t>
  </si>
  <si>
    <t>ATIVO CIRCULANTE</t>
  </si>
  <si>
    <t>Caixa e equivalentes de caixa</t>
  </si>
  <si>
    <t>Créditos a curto prazo</t>
  </si>
  <si>
    <t>Clientes</t>
  </si>
  <si>
    <t>Créditos tributários a receber</t>
  </si>
  <si>
    <t>Dívida ativa tributária</t>
  </si>
  <si>
    <t>Dívida ativa não tributária - clientes</t>
  </si>
  <si>
    <t>Créditos de transferências a receber</t>
  </si>
  <si>
    <t>Empréstimos e financiamentos concedidos</t>
  </si>
  <si>
    <t>(-) Ajuste de perdas de créditos a curto prazo</t>
  </si>
  <si>
    <t>Demais créditos e valores a curto prazo</t>
  </si>
  <si>
    <t>Investimentos e aplicações temporárias a curto prazo</t>
  </si>
  <si>
    <t>Estoques</t>
  </si>
  <si>
    <t>VPD pagas antecipadamente</t>
  </si>
  <si>
    <t>ATIVO NÃO-CIRCULANTE</t>
  </si>
  <si>
    <t>Remuneração a pessoal</t>
  </si>
  <si>
    <t>Ativo realizável a longo prazo</t>
  </si>
  <si>
    <t>Créditos a longo prazo</t>
  </si>
  <si>
    <t>Demais créditos e valores a longo prazo</t>
  </si>
  <si>
    <t>Investimentos e aplicações temporárias a longo prazo</t>
  </si>
  <si>
    <t>Investimentos</t>
  </si>
  <si>
    <t>Participações permanentes</t>
  </si>
  <si>
    <t>Participações avaliadas pelo método de equivalência patrimonial</t>
  </si>
  <si>
    <t>Participações avaliadas pelo método de custo</t>
  </si>
  <si>
    <t>Propriedades para investimento</t>
  </si>
  <si>
    <t>Demais investimentos permanentes</t>
  </si>
  <si>
    <t>Imobilizado</t>
  </si>
  <si>
    <t>Bens móveis</t>
  </si>
  <si>
    <t>Bens imóveis</t>
  </si>
  <si>
    <t>Intangível</t>
  </si>
  <si>
    <t>Softwares</t>
  </si>
  <si>
    <t>Marcas, direitos e patentes industrias</t>
  </si>
  <si>
    <t>Direito de uso de imóveis</t>
  </si>
  <si>
    <t>ATIVO FINANCEIRO</t>
  </si>
  <si>
    <t>ATIVO PERMANENTE</t>
  </si>
  <si>
    <t>SALDO PATRIMONIAL</t>
  </si>
  <si>
    <t>PASSIVO CIRCULANTE</t>
  </si>
  <si>
    <t>Obrigações trabalhistas, previdenciárias e assistencias a pagar a curto prazo</t>
  </si>
  <si>
    <t>Emprestimos e financiamentos a curto prazo</t>
  </si>
  <si>
    <t>Fornecedores e contas a pagar a curto prazo</t>
  </si>
  <si>
    <t>Emprestimos e financiamentos a longo prazo</t>
  </si>
  <si>
    <t>Obrigações fiscais a curto prazo</t>
  </si>
  <si>
    <t>Obrigações de repartição a outros entes</t>
  </si>
  <si>
    <t>Provisões a curto prazo</t>
  </si>
  <si>
    <t>Demais obrigações a curto prazo</t>
  </si>
  <si>
    <t>PASSIVO NÃO CIRCULANTE</t>
  </si>
  <si>
    <t>Obrigações trabalhistas, previdenciárias e assistencias a pagar a longo prazo</t>
  </si>
  <si>
    <t>Fornecedores a longo prazo</t>
  </si>
  <si>
    <t>Obrigações fiscais a longo prazo</t>
  </si>
  <si>
    <t>Provisões a longo prazo</t>
  </si>
  <si>
    <t>Demais obrigações a longo prazo</t>
  </si>
  <si>
    <t>TOTAL DO PASSIVO</t>
  </si>
  <si>
    <t>PATRIMÔNIO LÍQUIDO</t>
  </si>
  <si>
    <t>Patrimônio social e capital social</t>
  </si>
  <si>
    <t>Reservas de capital</t>
  </si>
  <si>
    <t>Ajustes de avaliação patrimonial</t>
  </si>
  <si>
    <t>Reservas de lucros</t>
  </si>
  <si>
    <t>Demais reservas</t>
  </si>
  <si>
    <t>Resultados acumulados</t>
  </si>
  <si>
    <t>Resultado do exercício</t>
  </si>
  <si>
    <t>Resultados de exercícios anteriores</t>
  </si>
  <si>
    <t>Ajustes de exercícios anteriores</t>
  </si>
  <si>
    <t>(-) Ações/Cotas em tesouraria</t>
  </si>
  <si>
    <t>TOTAL DO PATRIMÔNIO LÍQUIDO</t>
  </si>
  <si>
    <t>PASSIVO FINANCEIRO</t>
  </si>
  <si>
    <t>PASSIVO PERMANENTE</t>
  </si>
  <si>
    <t>DEMONSTRAÇÃO DOS FLUXOS DE CAIXA</t>
  </si>
  <si>
    <t>FLUXOS E CAIXA DAS ATIVIDADES DAS OPERAÇÕES</t>
  </si>
  <si>
    <t>RECEITAS DERIVADAS</t>
  </si>
  <si>
    <t>Receita tributária</t>
  </si>
  <si>
    <t>Receita de contribuições</t>
  </si>
  <si>
    <t>Outras receitas derivadas</t>
  </si>
  <si>
    <t>RECEITAS ORIGINÁRIAS</t>
  </si>
  <si>
    <t>Receita patrimonial</t>
  </si>
  <si>
    <t>Receita agropecuária</t>
  </si>
  <si>
    <t>Receita industrial</t>
  </si>
  <si>
    <t>Receita de serviços</t>
  </si>
  <si>
    <t>Outras receitas originárias</t>
  </si>
  <si>
    <t>Remuneração das disponibilidades</t>
  </si>
  <si>
    <t>TRANSFERÊNCIAS</t>
  </si>
  <si>
    <t>Intergovernamentais</t>
  </si>
  <si>
    <t>da União</t>
  </si>
  <si>
    <t>de Estados e Distrito Federal</t>
  </si>
  <si>
    <t>de Municípios</t>
  </si>
  <si>
    <t>Intragovernamentais</t>
  </si>
  <si>
    <t>DESEMBOLSOS</t>
  </si>
  <si>
    <t>PESSOAL E OUTRAS DESPESAS CORRENTES POR FUNÇÃO</t>
  </si>
  <si>
    <t>Legislativa</t>
  </si>
  <si>
    <t>Judiciária</t>
  </si>
  <si>
    <t>Administração</t>
  </si>
  <si>
    <t>Defesa nacional</t>
  </si>
  <si>
    <t>Segurança pública</t>
  </si>
  <si>
    <t>Assistência social</t>
  </si>
  <si>
    <t>Saúde</t>
  </si>
  <si>
    <t>Trabalho</t>
  </si>
  <si>
    <t>Educação</t>
  </si>
  <si>
    <t>Juros e correção monetária da dívida interna</t>
  </si>
  <si>
    <t>Juros e correção monetária da dívida externa</t>
  </si>
  <si>
    <t>Outros encargos da dívida</t>
  </si>
  <si>
    <t>a União</t>
  </si>
  <si>
    <t>a Estados e Distrito Federal</t>
  </si>
  <si>
    <t>a Municípios</t>
  </si>
  <si>
    <t>FLUXO DE CAIXA LÍQUIDO DAS ATIVIDADES DAS OPERAÇÕES</t>
  </si>
  <si>
    <t>FLUXOS DE CAIXA DAS ATIVIDADES DE INVESTIMENTO</t>
  </si>
  <si>
    <t>AMORTIZAÇÃO DE EMPRÉSTIMOS E FINANCIAMENTOS CONCEDIDOS</t>
  </si>
  <si>
    <t>AQUISIÇÃO DE ATIVO NÃO CIRCULANTE</t>
  </si>
  <si>
    <t>CONCESSÃO DE EMPRÉSTIMOS E FINANCIAMENTOS</t>
  </si>
  <si>
    <t>FLUXO DE CAIXA LÍQUIDO DAS ATIVIDADES DE INVESTIMENTO</t>
  </si>
  <si>
    <t>FLUXOS DE CAIXA DAS ATIVIDADES DE FINANCIAMENTO</t>
  </si>
  <si>
    <t>OPERAÇÕES DE CRÉDITOS</t>
  </si>
  <si>
    <t>FLUXO DE CAIXA LÍQUIDO DAS ATIVIDADES DE FINANCIAMENTO</t>
  </si>
  <si>
    <t>APURAÇÃO DO FLUXO DE CAIXA DO PERÍODO</t>
  </si>
  <si>
    <t>AMORTIZAÇÃO/REFINANCIAMENTO DA DÍVIDA</t>
  </si>
  <si>
    <t>GERAÇÃO LÍQUIDA DE CAIXA E EQUIVALENTE DE CAIXA</t>
  </si>
  <si>
    <t>CAIXA E EQUIVALENTE DE CAIXA INICIAL</t>
  </si>
  <si>
    <t>CAIXA E EQUIVALENTE DE CAIXA FINAL</t>
  </si>
  <si>
    <t>TOTAL (X=VIII+IX)</t>
  </si>
  <si>
    <t>RECEITAS CORRENTES INTRA-ORÇAMENTÁRIAS</t>
  </si>
  <si>
    <t>RECEITA DE CONTRIBUIÇÕES INTRA-ORÇAMENTÁRIAS</t>
  </si>
  <si>
    <t>CONTRIBUIÇÕES PREVIDENCIÁRIAS DO REGIME PRÓPRIO INTRA-ORÇAMENTÁRIA</t>
  </si>
  <si>
    <t>Contribuição patronal de servidor ativo</t>
  </si>
  <si>
    <t>Contribuição previdenciária para amortização do déficit atuarial</t>
  </si>
  <si>
    <t>Contribuição previdenciária em regime de parcelamento de débitos</t>
  </si>
  <si>
    <t>TIPO DE CRÉDITO</t>
  </si>
  <si>
    <t>CRÉDITO ADICIONAL</t>
  </si>
  <si>
    <t>Crédito Suplementar</t>
  </si>
  <si>
    <t>Crédito Extraordinário</t>
  </si>
  <si>
    <t>Crédito Especial</t>
  </si>
  <si>
    <t>ORIGEM DO RECURSO</t>
  </si>
  <si>
    <t>SUPERÁVIT</t>
  </si>
  <si>
    <t>EXCESSO DE ARRECADAÇÃO</t>
  </si>
  <si>
    <t>ANULAÇÃO DE DOTAÇÃO</t>
  </si>
  <si>
    <t>OP. CRÉDITO</t>
  </si>
  <si>
    <t>REABERTURA</t>
  </si>
  <si>
    <t>QUOCIENTE</t>
  </si>
  <si>
    <t>VALOR</t>
  </si>
  <si>
    <t>EQUILÍBRIO ORÇAMENTÁRIO: expressa a relação entre a previsão inicial da receita e a dotação inicial da despesa, indicando se há equilíbrio entre a previsão e fixação constante na LOA.</t>
  </si>
  <si>
    <t>EXECUÇÃO DA RECEITA: demonstra a relação entre a receita realizada e a previsão inicial da receita, indicando a existência de excesso ou falta de arrecadação para administração dos indicadores fiscais.</t>
  </si>
  <si>
    <t>EXECUÇÃO DA RECEITA: demonstra a relação entre a receita realizada e a previsão atualizada da receita, indicando a existência de excesso ou falta de arrecadação para a cobertura de despesas.</t>
  </si>
  <si>
    <t>UTILIZAÇÃO DO EXCESSO DE ARRECADAÇÃO: resultante da relação dos créditos adicionais abertos por meio do excesso de arrecadação e o total do excesso de arrecadação, indicando a parcela do excesso de arrecadação utilizada para abertura de créditos adicionais.</t>
  </si>
  <si>
    <t>UTILIZAÇÃO DO SUPERÁVIT FINANCEIRO: resultante da relação entre os créditos adicionais abertos por meio do superávit financeiro e o total do superávit financeiro apurado no exercício anterior, indicando a parcela do superávit financeiro utilizada para abertura de créditos adicionais.</t>
  </si>
  <si>
    <t>RESULTADO ORÇAMENTÁRIO: expressa a relação entre receita realizada e despesa empenhada, indicando a existência de superávit ou déficit.</t>
  </si>
  <si>
    <t>EXECUÇÃO ORÇAMENTÁRIA CORRENTE: demonstra a relação entre a receita corrente realizada e a despesa corrente empenhada, indicando se a receita corrente suportou as despesas correntes ou se foi necessário utilizar receitas de capital para financiar despesas correntes.</t>
  </si>
  <si>
    <t>EXECUÇÃO DA DESPESA: resultante da relação entre despesa executada e dotação atualizada, cuja discrepância pode ser ocasionada por ineficiência no processo planejamento-execução ou uma economia de despesa orçamentária.</t>
  </si>
  <si>
    <t>FINANCEIRO REAL DA EXECUÇÃO: resultante da relação entre a receita realizada e a despesa paga, indicando o quanto a receita orçamentária arrecadada representa em relação à despesa orçamentária paga.</t>
  </si>
  <si>
    <t>PAGAMENTOS</t>
  </si>
  <si>
    <t>RECEBIMENTOS</t>
  </si>
  <si>
    <t>QUOCIENTES - BALANÇO FINANCEIRO</t>
  </si>
  <si>
    <t>ORÇAMENTÁRIO DO RESULTADO FINANCEIRO: resultante da relação entre o resultado orçamentário (receita orçamentária - despesa orçamentária) e a variação do saldo em espécie e indica a parcela da variação do saldo do disponível que pode ser explicada pelo resultado orçamentário.</t>
  </si>
  <si>
    <t>RESULTADO DOS SALDOS FINANCEIROS: resultante da relação entre o saldo que passa para o exercício seguinte e o aldo do exercício anterior, indicando o impacto do resultado financeiro sobre o saldo em espécie.</t>
  </si>
  <si>
    <t>Benefícios de prestação continuada</t>
  </si>
  <si>
    <t>QUOCIENTES - DEMONSTRAÇÃO DAS VARIAÇÕES PATRIMONAIS</t>
  </si>
  <si>
    <t>RESULTADO DAS VARIAÇÕES PATRIMONAIS: relação entre o total das variações patrimoniais aumentativas  e o total das variações patrimoniais diminutivas.</t>
  </si>
  <si>
    <t>Adiantamento para futuro aumento de capital</t>
  </si>
  <si>
    <t>ANEXO I - COMPENSAÇÕES</t>
  </si>
  <si>
    <t>Saldo dos Atos Potenciais Ativos</t>
  </si>
  <si>
    <t>Saldo dos Atos Potenciais Passivos</t>
  </si>
  <si>
    <t>Parcelamento de débitos previdenciários</t>
  </si>
  <si>
    <t>ANEXO II - DEMONSTRATIVO DO SUPERÁVIT/DÉFICIT FINANCEIRO APURADO NO BALANÇO PATRIMONIAL</t>
  </si>
  <si>
    <t>DESTINAÇÃO DE RECURSOS</t>
  </si>
  <si>
    <t>LIQUIDEZ CORRENTE (Ativo Circulante / Passivo Circulante): a liquidez corrente demonstra quanto a entidade poderá dispor de recursos a curto prazo para pagar suas dívidas circulantes.</t>
  </si>
  <si>
    <t>LIQUIDEZ IMEDIATA (Disponibilidades / Passivo Circulante): indica a capacidade financeira da entidade em honrar imediatamente seus compromissos de curto prazo contando apenas com suas disponibilidades, ou seja, os recursos disponíveis em caixa ou bancos.</t>
  </si>
  <si>
    <t>LIQUIDEZ SECA (Disponibilidades + Créditos a Curto Prazo / Passivo Circulante): demonstra quanto a entidade poderá dispor de recursos circulantes, sem levar em conta seus itens não monetários, como estoques e despesas antecipadas, para fazer face às uas obrigações de curto prazo.</t>
  </si>
  <si>
    <t>ÍNDICE DE SOLVÊNCIA (Ativo Circulante + Ativo Não Circulante / Passivo Circulante + Passivo Não Circulante): uma entidade é solvente quando está em condições de fazer frente a suas obrigações e ainda apresenta uma situação patrimonial que garanta sua sobrevivência no futuro.</t>
  </si>
  <si>
    <t>LIQUIDEZ GERAL (Ativo Circulante + Ativo Realizável a Longo Prazo / Passivo Circulante + Passivo Não Circulante): a liquidez geral ou índice de solvência geral é uma medida de capacidade da entidade em honrar todas as suas exigibilidades, contando, para isso, com seus recursos realizáveis a curto e longo prazos.</t>
  </si>
  <si>
    <t>ENDIVIDAMENTO GERAL (Passivo Circulante + Passivo Não Circulante / Ativo Total): esse índice demonstra o grau de endividamento da entidade e também reflete sua estrutura de capital.</t>
  </si>
  <si>
    <t>COMPOSIÇÃO DO ENDIVIDAMENTO (Passivo Circulante / Passivo Circulante + Passivo Não Circulante): representa a parcela de curto prazo sobre a composição do endividamento total.</t>
  </si>
  <si>
    <t>QUOCIENTES - BALANÇO PATRIMONIAL</t>
  </si>
  <si>
    <t>FLUXO DE CAIXA OPERACIONAL LÍQUIDO EM RELAÇÃO AO RESULTADO PATRIMONIAL: resultante da relação entre o caixa líquido gerado nas operações e o resultado patrimonial, indicando a dispersão entre o fluxo de caixa operacional gerado e o resultado patrimonial do exercício.</t>
  </si>
  <si>
    <t>CAPACIDADE DE AMORTIZAÇÃO DA DÍVIDA: resultante da relação entre o caixa líquido gerado nas operações e o total do Passivo indicando a parcela dos recursos gerados pela entidade para o pagamento da dívida.</t>
  </si>
  <si>
    <t>ATIVIDADE OPERACIONAL: demonstra a relação entre o caixa líquido gerado das operações e o total da geração líquida de caixa indicando a parcela da geração líquida de caixa da entidade atribuída às atividades operacionais.</t>
  </si>
  <si>
    <t>ITENS PARA VALIDAÇÃO DAS DCASP</t>
  </si>
  <si>
    <t>DIFERENÇA</t>
  </si>
  <si>
    <t>ITEM 1</t>
  </si>
  <si>
    <t>VALOR 1</t>
  </si>
  <si>
    <t>ITEM 2</t>
  </si>
  <si>
    <t>VALOR 2</t>
  </si>
  <si>
    <t>Valor 1 e Valor 2 sempre devem ser iguais</t>
  </si>
  <si>
    <t>Diferença entre dotação inicial e atualizada do BO</t>
  </si>
  <si>
    <t>Total de superávit financeiro usado como origem de recursos para créditos adicionais do BO</t>
  </si>
  <si>
    <t>Superávit de saldos de exercícios anteriores do BO</t>
  </si>
  <si>
    <t>Total de reabertura usado como origem de recursos para créditos adicionais do BO</t>
  </si>
  <si>
    <t>Reabertura de saldos de exercícios anteriores do BO</t>
  </si>
  <si>
    <t>Receita orçamentária do BF</t>
  </si>
  <si>
    <t>Despesa orçamentária do BF</t>
  </si>
  <si>
    <t>Receita orçamentária arrecadada do BO</t>
  </si>
  <si>
    <t>Despesa orçamentária paga do BO</t>
  </si>
  <si>
    <t>Saldo anterior do BF</t>
  </si>
  <si>
    <t>Saldo inicial da DFC</t>
  </si>
  <si>
    <t>Saldo final do BF</t>
  </si>
  <si>
    <t>Saldo final da DFC</t>
  </si>
  <si>
    <t>Recebimentos extraorçamentários do anexo do BF</t>
  </si>
  <si>
    <t>Recebimentos extraorçamentários do BF</t>
  </si>
  <si>
    <t>Pagamentos extraorçamentários do anexo do BF</t>
  </si>
  <si>
    <t>Pagamentos extraorçamentários do BF</t>
  </si>
  <si>
    <t>Resultado patrimonial da DVP</t>
  </si>
  <si>
    <t>Resultado do exercício do BP</t>
  </si>
  <si>
    <t>Superávit/déficit do anexo do BP</t>
  </si>
  <si>
    <t>PROVISÃO PARA PERDAS EM INVESTIMENTOS</t>
  </si>
  <si>
    <t>Caixa e equivalentes do BP + Investimentos BP</t>
  </si>
  <si>
    <t>SALDO DA DOTAÇÃO (i)=(e)-(f)</t>
  </si>
  <si>
    <t>DESPESAS LIQUIDADAS (g)</t>
  </si>
  <si>
    <t>VARIAÇÕES PATRIMONIAIS QUALITATIVAS (decorrentes da execução orçamentária)</t>
  </si>
  <si>
    <t>CONSOLIDAÇÃO DE PERDAS EM INVESTIMENTOS</t>
  </si>
  <si>
    <t>SALDO (f=a+b-d-e)</t>
  </si>
  <si>
    <t>QUADRO I - RECEITAS INTRA-ORÇAMENTÁRIAS</t>
  </si>
  <si>
    <t>QUADRO II - DESPESAS INTRA-ORÇAMENTÁRIAS</t>
  </si>
  <si>
    <t>DESPESAS CORRENTES INTRA-ORÇAMENTÁRIAS</t>
  </si>
  <si>
    <t>Outras receitas vinculadas</t>
  </si>
  <si>
    <t>Outras despesas vinculadas</t>
  </si>
  <si>
    <t>Destinadas à Saúde</t>
  </si>
  <si>
    <t>Destinadas à Educação</t>
  </si>
  <si>
    <t>Destinadas à Assistência Social</t>
  </si>
  <si>
    <t>TOTAL (VI=I+II+III+IV+V)</t>
  </si>
  <si>
    <t>TRANSFERÊNCIAS FINANCEIRAS RECEBIDAS</t>
  </si>
  <si>
    <t>TRANSFERÊNCIAS FINANCEIRAS CONCEDIDAS</t>
  </si>
  <si>
    <t>SALDO BANCÁRIO</t>
  </si>
  <si>
    <t>RESTOS A PAGAR</t>
  </si>
  <si>
    <t>VALORES RESTITUÍVEIS</t>
  </si>
  <si>
    <t>OUTRAS DEDUÇÕES</t>
  </si>
  <si>
    <t>SUPERÁVIT FINANCEIRO</t>
  </si>
  <si>
    <t>0001 LIVRE</t>
  </si>
  <si>
    <t>0020 MDE</t>
  </si>
  <si>
    <t>0040 ASPS</t>
  </si>
  <si>
    <t>0050 RPPS</t>
  </si>
  <si>
    <t>ATIVO IMOBILIZADO</t>
  </si>
  <si>
    <t>SALDO BRUTO</t>
  </si>
  <si>
    <t>DEPRECIAÇÃO</t>
  </si>
  <si>
    <t>SALDO LÍQUIDO</t>
  </si>
  <si>
    <t>Máquinas, Aparelhos, Equipamentos e Ferramentas</t>
  </si>
  <si>
    <t>Bens de Informática</t>
  </si>
  <si>
    <t>Móveis e Utensílios</t>
  </si>
  <si>
    <t>Materiais, Culturais, Educacionais e de Comunicação</t>
  </si>
  <si>
    <t>Veículos</t>
  </si>
  <si>
    <t>Terrenos/Glebas</t>
  </si>
  <si>
    <t>Edifícios</t>
  </si>
  <si>
    <t>Ruas</t>
  </si>
  <si>
    <t>Praças</t>
  </si>
  <si>
    <t>Multigovernamentais</t>
  </si>
  <si>
    <t>Cultura</t>
  </si>
  <si>
    <t>Urbanismo</t>
  </si>
  <si>
    <t>Habitação</t>
  </si>
  <si>
    <t>Saneamento</t>
  </si>
  <si>
    <t>Gestão ambiental</t>
  </si>
  <si>
    <t>Agricultura</t>
  </si>
  <si>
    <t>Transporte</t>
  </si>
  <si>
    <t>Desporto e lazer</t>
  </si>
  <si>
    <t>Encargos especiais</t>
  </si>
  <si>
    <t>Total de créditos especiais excluídas as reduções do BO</t>
  </si>
  <si>
    <t>Pagamento de restos a pagar (VII)</t>
  </si>
  <si>
    <t>Transferências financeiras concedidas (VIII)</t>
  </si>
  <si>
    <t>TOTAL (XII=VI+VII+VIII+IX+X+XI)</t>
  </si>
  <si>
    <t>PAGOS (c)</t>
  </si>
  <si>
    <t>CANCELADOS (d)</t>
  </si>
  <si>
    <t>SALDO (f=a+b-c-d)</t>
  </si>
  <si>
    <t>OUTRAS RECEITAS CORRENTES INTRA-ORÇAMENTÁRIAS</t>
  </si>
  <si>
    <t>MULTA E JUROS DE MORA</t>
  </si>
  <si>
    <t>Multa e Juros de Mora das Contribuições</t>
  </si>
  <si>
    <t>RECEITAS DE CAPITAL INTRA-ORÇAMENTÁRIAS</t>
  </si>
  <si>
    <t>ALIENAÇÃO DE BENS MÓVEIS</t>
  </si>
  <si>
    <t>Receita de alienação de bens da saúde</t>
  </si>
  <si>
    <t>DESPESAS DE CAPITAL INTRA-ORÇAMENTÁRIAS</t>
  </si>
  <si>
    <t>QUADRO III - CRÉDITOS ADICIONAIS</t>
  </si>
  <si>
    <t>QUADRO I - RECEBIMENTOS E PAGAMENTOS EXTRAORÇAMENTÁRIOS</t>
  </si>
  <si>
    <t>QUADRO II - TRANSFERÊNCIAS FINANCEIRAS INTRA OFSS (EXCLUÍDAS DO BALANÇO FINANCEIRO CONSOLIDADO)</t>
  </si>
  <si>
    <t>QUADRO I - DETALHAMENTO DO ATIVO IMOBILIZADO</t>
  </si>
  <si>
    <t>Resultado diferido</t>
  </si>
  <si>
    <t>SUPERÁVIT FINANCEIRO DO EXERCÍCIO</t>
  </si>
  <si>
    <t>Direitos conveniados</t>
  </si>
  <si>
    <t>Direitos contratuais</t>
  </si>
  <si>
    <t>Obrigações conveniadas</t>
  </si>
  <si>
    <t>Obrigações contratuais</t>
  </si>
  <si>
    <t>Outros atos potenciais passivos</t>
  </si>
  <si>
    <t>Comércio e serviços</t>
  </si>
  <si>
    <t>REVERSÃO DE PROVISÕES E AJUSTES DE PERDAS</t>
  </si>
  <si>
    <t>PAGAMENTOS EXTRA-ORÇAMENTÁRIOS</t>
  </si>
  <si>
    <t>RECEBIMENTOS EXTRA-ORÇAMENTÁRIOS</t>
  </si>
  <si>
    <t>Ativo Financeiro - Passivo financeiro</t>
  </si>
  <si>
    <t>QUADRO III - DEDUÇÕES DAS RECEITAS ORÇAMENTÁRIAS</t>
  </si>
  <si>
    <t>NATUREZA DA DEDUÇÃO</t>
  </si>
  <si>
    <t>INVESTIMENTO</t>
  </si>
  <si>
    <t>PROVISÃO</t>
  </si>
  <si>
    <t>REVERSÃO DA PROVISÃO</t>
  </si>
  <si>
    <t>PERDAS</t>
  </si>
  <si>
    <t>QUADRO IV - AJUSTES E PERDAS EM INVESTIMENTOS DO RPPS</t>
  </si>
  <si>
    <t>Recebimentos extraorçamentários (III)</t>
  </si>
  <si>
    <t>Saldo em espécie do exercício anterior (IV)</t>
  </si>
  <si>
    <t>Pagamentos extraorçamentários (IX)</t>
  </si>
  <si>
    <t>Saldo em espécie para o exercício seguinte (X)</t>
  </si>
  <si>
    <t>EXERCÍCIO DE 2015</t>
  </si>
  <si>
    <t>DE 01/01/2015 A 31/12/2015</t>
  </si>
  <si>
    <t>SALDO 31/12/X-1</t>
  </si>
  <si>
    <t>SALDO 31/12/X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</si>
</sst>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164" fontId="2" fillId="0" borderId="2" xfId="1" applyNumberFormat="1" applyFont="1" applyBorder="1"/>
    <xf numFmtId="164" fontId="2" fillId="0" borderId="3" xfId="1" applyNumberFormat="1" applyFont="1" applyBorder="1"/>
    <xf numFmtId="0" fontId="0" fillId="0" borderId="1" xfId="0" applyBorder="1" applyAlignment="1">
      <alignment horizontal="left" wrapText="1" indent="1"/>
    </xf>
    <xf numFmtId="164" fontId="0" fillId="0" borderId="2" xfId="1" applyNumberFormat="1" applyFont="1" applyBorder="1"/>
    <xf numFmtId="164" fontId="0" fillId="0" borderId="3" xfId="1" applyNumberFormat="1" applyFont="1" applyBorder="1"/>
    <xf numFmtId="0" fontId="0" fillId="0" borderId="1" xfId="0" applyBorder="1" applyAlignment="1">
      <alignment horizontal="left" wrapText="1" indent="2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/>
    <xf numFmtId="0" fontId="2" fillId="0" borderId="4" xfId="0" applyFont="1" applyBorder="1" applyAlignment="1">
      <alignment wrapText="1"/>
    </xf>
    <xf numFmtId="164" fontId="2" fillId="0" borderId="5" xfId="1" applyNumberFormat="1" applyFont="1" applyBorder="1"/>
    <xf numFmtId="164" fontId="2" fillId="0" borderId="6" xfId="1" applyNumberFormat="1" applyFont="1" applyBorder="1"/>
    <xf numFmtId="164" fontId="2" fillId="2" borderId="5" xfId="1" applyNumberFormat="1" applyFont="1" applyFill="1" applyBorder="1"/>
    <xf numFmtId="164" fontId="2" fillId="2" borderId="6" xfId="1" applyNumberFormat="1" applyFont="1" applyFill="1" applyBorder="1"/>
    <xf numFmtId="0" fontId="0" fillId="0" borderId="7" xfId="0" applyBorder="1" applyAlignment="1">
      <alignment horizontal="left" wrapText="1" indent="1"/>
    </xf>
    <xf numFmtId="164" fontId="0" fillId="0" borderId="9" xfId="1" applyNumberFormat="1" applyFont="1" applyBorder="1"/>
    <xf numFmtId="0" fontId="2" fillId="0" borderId="1" xfId="0" applyFont="1" applyBorder="1" applyAlignment="1"/>
    <xf numFmtId="0" fontId="2" fillId="0" borderId="2" xfId="0" applyFont="1" applyBorder="1"/>
    <xf numFmtId="0" fontId="0" fillId="0" borderId="2" xfId="0" applyBorder="1"/>
    <xf numFmtId="0" fontId="2" fillId="2" borderId="4" xfId="0" applyFont="1" applyFill="1" applyBorder="1" applyAlignment="1"/>
    <xf numFmtId="0" fontId="2" fillId="0" borderId="4" xfId="0" applyFont="1" applyBorder="1" applyAlignment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164" fontId="2" fillId="0" borderId="2" xfId="0" applyNumberFormat="1" applyFont="1" applyBorder="1"/>
    <xf numFmtId="164" fontId="2" fillId="0" borderId="3" xfId="0" applyNumberFormat="1" applyFont="1" applyBorder="1"/>
    <xf numFmtId="164" fontId="0" fillId="0" borderId="2" xfId="0" applyNumberFormat="1" applyBorder="1"/>
    <xf numFmtId="164" fontId="0" fillId="0" borderId="3" xfId="0" applyNumberForma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2" borderId="5" xfId="0" applyNumberFormat="1" applyFont="1" applyFill="1" applyBorder="1"/>
    <xf numFmtId="0" fontId="0" fillId="0" borderId="0" xfId="0" applyBorder="1" applyAlignment="1"/>
    <xf numFmtId="0" fontId="0" fillId="0" borderId="0" xfId="0" applyBorder="1"/>
    <xf numFmtId="4" fontId="2" fillId="0" borderId="2" xfId="0" applyNumberFormat="1" applyFont="1" applyBorder="1"/>
    <xf numFmtId="4" fontId="2" fillId="0" borderId="3" xfId="0" applyNumberFormat="1" applyFont="1" applyBorder="1"/>
    <xf numFmtId="4" fontId="0" fillId="0" borderId="2" xfId="0" applyNumberFormat="1" applyBorder="1"/>
    <xf numFmtId="4" fontId="0" fillId="0" borderId="3" xfId="0" applyNumberFormat="1" applyBorder="1"/>
    <xf numFmtId="4" fontId="2" fillId="2" borderId="5" xfId="0" applyNumberFormat="1" applyFont="1" applyFill="1" applyBorder="1"/>
    <xf numFmtId="4" fontId="2" fillId="2" borderId="6" xfId="0" applyNumberFormat="1" applyFont="1" applyFill="1" applyBorder="1"/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wrapText="1"/>
    </xf>
    <xf numFmtId="0" fontId="2" fillId="0" borderId="1" xfId="0" applyFont="1" applyBorder="1"/>
    <xf numFmtId="0" fontId="2" fillId="0" borderId="4" xfId="0" applyFont="1" applyBorder="1"/>
    <xf numFmtId="0" fontId="2" fillId="2" borderId="4" xfId="0" applyFont="1" applyFill="1" applyBorder="1"/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left" indent="2"/>
    </xf>
    <xf numFmtId="0" fontId="0" fillId="0" borderId="8" xfId="0" applyBorder="1"/>
    <xf numFmtId="0" fontId="2" fillId="0" borderId="10" xfId="0" applyFont="1" applyBorder="1"/>
    <xf numFmtId="0" fontId="0" fillId="0" borderId="8" xfId="0" applyBorder="1" applyAlignment="1">
      <alignment horizontal="left" indent="1"/>
    </xf>
    <xf numFmtId="0" fontId="2" fillId="0" borderId="11" xfId="0" applyFont="1" applyFill="1" applyBorder="1" applyAlignment="1">
      <alignment horizontal="left"/>
    </xf>
    <xf numFmtId="4" fontId="2" fillId="0" borderId="10" xfId="0" applyNumberFormat="1" applyFont="1" applyBorder="1"/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indent="1"/>
    </xf>
    <xf numFmtId="0" fontId="0" fillId="0" borderId="2" xfId="0" applyBorder="1" applyAlignment="1">
      <alignment horizontal="left" indent="3"/>
    </xf>
    <xf numFmtId="0" fontId="0" fillId="0" borderId="2" xfId="0" applyBorder="1" applyAlignment="1">
      <alignment horizontal="left"/>
    </xf>
    <xf numFmtId="0" fontId="2" fillId="0" borderId="5" xfId="0" applyFont="1" applyBorder="1" applyAlignment="1">
      <alignment horizontal="left" indent="1"/>
    </xf>
    <xf numFmtId="0" fontId="2" fillId="2" borderId="5" xfId="0" applyFont="1" applyFill="1" applyBorder="1" applyAlignment="1">
      <alignment horizontal="left"/>
    </xf>
    <xf numFmtId="4" fontId="3" fillId="0" borderId="2" xfId="0" applyNumberFormat="1" applyFont="1" applyBorder="1"/>
    <xf numFmtId="4" fontId="2" fillId="0" borderId="5" xfId="0" applyNumberFormat="1" applyFont="1" applyBorder="1"/>
    <xf numFmtId="4" fontId="2" fillId="2" borderId="5" xfId="0" applyNumberFormat="1" applyFont="1" applyFill="1" applyBorder="1" applyAlignment="1"/>
    <xf numFmtId="0" fontId="0" fillId="0" borderId="5" xfId="0" applyBorder="1" applyAlignment="1">
      <alignment horizontal="left" indent="2"/>
    </xf>
    <xf numFmtId="0" fontId="0" fillId="0" borderId="5" xfId="0" applyBorder="1" applyAlignment="1">
      <alignment horizontal="left" indent="3"/>
    </xf>
    <xf numFmtId="0" fontId="2" fillId="0" borderId="11" xfId="0" applyFont="1" applyBorder="1"/>
    <xf numFmtId="0" fontId="2" fillId="2" borderId="6" xfId="0" applyFont="1" applyFill="1" applyBorder="1" applyAlignment="1"/>
    <xf numFmtId="4" fontId="0" fillId="0" borderId="5" xfId="0" applyNumberFormat="1" applyBorder="1"/>
    <xf numFmtId="43" fontId="2" fillId="0" borderId="5" xfId="2" applyNumberFormat="1" applyFont="1" applyBorder="1" applyAlignment="1">
      <alignment horizontal="center"/>
    </xf>
    <xf numFmtId="4" fontId="2" fillId="2" borderId="5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horizontal="left" indent="2"/>
    </xf>
    <xf numFmtId="0" fontId="2" fillId="0" borderId="1" xfId="0" applyFont="1" applyFill="1" applyBorder="1" applyAlignment="1">
      <alignment horizontal="left" indent="3"/>
    </xf>
    <xf numFmtId="0" fontId="0" fillId="0" borderId="1" xfId="0" applyFill="1" applyBorder="1" applyAlignment="1">
      <alignment horizontal="left" indent="4"/>
    </xf>
    <xf numFmtId="0" fontId="0" fillId="0" borderId="1" xfId="0" applyFill="1" applyBorder="1" applyAlignment="1">
      <alignment horizontal="left" indent="1"/>
    </xf>
    <xf numFmtId="0" fontId="0" fillId="0" borderId="1" xfId="0" applyFont="1" applyFill="1" applyBorder="1" applyAlignment="1">
      <alignment horizontal="left" indent="1"/>
    </xf>
    <xf numFmtId="4" fontId="2" fillId="2" borderId="6" xfId="0" applyNumberFormat="1" applyFont="1" applyFill="1" applyBorder="1" applyAlignment="1">
      <alignment wrapText="1"/>
    </xf>
    <xf numFmtId="4" fontId="0" fillId="0" borderId="0" xfId="0" applyNumberFormat="1"/>
    <xf numFmtId="43" fontId="0" fillId="0" borderId="3" xfId="1" applyFont="1" applyBorder="1"/>
    <xf numFmtId="43" fontId="0" fillId="0" borderId="9" xfId="1" applyFont="1" applyBorder="1"/>
    <xf numFmtId="0" fontId="2" fillId="3" borderId="0" xfId="0" applyFont="1" applyFill="1"/>
    <xf numFmtId="0" fontId="2" fillId="3" borderId="5" xfId="0" applyFont="1" applyFill="1" applyBorder="1"/>
    <xf numFmtId="0" fontId="2" fillId="3" borderId="6" xfId="0" applyFont="1" applyFill="1" applyBorder="1"/>
    <xf numFmtId="4" fontId="2" fillId="3" borderId="5" xfId="0" applyNumberFormat="1" applyFont="1" applyFill="1" applyBorder="1"/>
    <xf numFmtId="4" fontId="2" fillId="3" borderId="6" xfId="0" applyNumberFormat="1" applyFont="1" applyFill="1" applyBorder="1"/>
    <xf numFmtId="164" fontId="0" fillId="0" borderId="0" xfId="1" applyNumberFormat="1" applyFont="1"/>
    <xf numFmtId="0" fontId="2" fillId="3" borderId="5" xfId="0" applyFont="1" applyFill="1" applyBorder="1" applyAlignment="1"/>
    <xf numFmtId="4" fontId="2" fillId="3" borderId="5" xfId="0" applyNumberFormat="1" applyFont="1" applyFill="1" applyBorder="1" applyAlignment="1"/>
    <xf numFmtId="0" fontId="2" fillId="0" borderId="11" xfId="0" applyFont="1" applyBorder="1" applyAlignment="1">
      <alignment horizontal="left"/>
    </xf>
    <xf numFmtId="0" fontId="2" fillId="2" borderId="5" xfId="0" applyFont="1" applyFill="1" applyBorder="1" applyAlignment="1"/>
    <xf numFmtId="164" fontId="2" fillId="2" borderId="5" xfId="1" applyNumberFormat="1" applyFont="1" applyFill="1" applyBorder="1" applyAlignment="1"/>
    <xf numFmtId="43" fontId="0" fillId="0" borderId="0" xfId="1" applyFont="1"/>
    <xf numFmtId="0" fontId="2" fillId="3" borderId="4" xfId="0" applyFont="1" applyFill="1" applyBorder="1"/>
    <xf numFmtId="0" fontId="0" fillId="0" borderId="4" xfId="0" applyBorder="1"/>
    <xf numFmtId="0" fontId="0" fillId="0" borderId="5" xfId="0" applyBorder="1"/>
    <xf numFmtId="4" fontId="0" fillId="0" borderId="6" xfId="0" applyNumberFormat="1" applyBorder="1"/>
    <xf numFmtId="43" fontId="0" fillId="0" borderId="3" xfId="1" applyFont="1" applyFill="1" applyBorder="1"/>
    <xf numFmtId="165" fontId="0" fillId="0" borderId="0" xfId="1" applyNumberFormat="1" applyFont="1"/>
    <xf numFmtId="0" fontId="2" fillId="0" borderId="0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indent="2"/>
    </xf>
    <xf numFmtId="0" fontId="2" fillId="3" borderId="6" xfId="0" applyFont="1" applyFill="1" applyBorder="1" applyAlignment="1"/>
    <xf numFmtId="44" fontId="2" fillId="3" borderId="5" xfId="2" applyFont="1" applyFill="1" applyBorder="1" applyAlignment="1"/>
    <xf numFmtId="44" fontId="2" fillId="3" borderId="6" xfId="2" applyFont="1" applyFill="1" applyBorder="1" applyAlignment="1"/>
    <xf numFmtId="0" fontId="2" fillId="3" borderId="4" xfId="0" applyFont="1" applyFill="1" applyBorder="1" applyAlignment="1"/>
    <xf numFmtId="44" fontId="0" fillId="0" borderId="3" xfId="2" applyFont="1" applyBorder="1"/>
    <xf numFmtId="44" fontId="2" fillId="3" borderId="5" xfId="2" applyFont="1" applyFill="1" applyBorder="1" applyAlignment="1">
      <alignment horizontal="left"/>
    </xf>
    <xf numFmtId="44" fontId="2" fillId="3" borderId="6" xfId="2" applyFont="1" applyFill="1" applyBorder="1"/>
    <xf numFmtId="44" fontId="0" fillId="0" borderId="3" xfId="2" applyFont="1" applyBorder="1" applyAlignment="1">
      <alignment horizontal="left"/>
    </xf>
    <xf numFmtId="44" fontId="2" fillId="3" borderId="6" xfId="2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44" fontId="0" fillId="0" borderId="0" xfId="0" applyNumberFormat="1"/>
    <xf numFmtId="0" fontId="0" fillId="0" borderId="0" xfId="0" applyFont="1" applyFill="1"/>
    <xf numFmtId="43" fontId="2" fillId="3" borderId="5" xfId="1" applyFont="1" applyFill="1" applyBorder="1" applyAlignment="1"/>
    <xf numFmtId="0" fontId="2" fillId="0" borderId="11" xfId="0" applyFont="1" applyBorder="1" applyAlignment="1" applyProtection="1">
      <alignment horizontal="left"/>
      <protection locked="0"/>
    </xf>
    <xf numFmtId="164" fontId="0" fillId="0" borderId="2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2" fillId="0" borderId="2" xfId="0" applyNumberFormat="1" applyFont="1" applyBorder="1" applyProtection="1">
      <protection locked="0"/>
    </xf>
    <xf numFmtId="164" fontId="2" fillId="0" borderId="5" xfId="1" applyNumberFormat="1" applyFont="1" applyBorder="1" applyAlignment="1">
      <alignment horizontal="right"/>
    </xf>
    <xf numFmtId="4" fontId="0" fillId="0" borderId="2" xfId="0" applyNumberForma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2" xfId="1" applyNumberFormat="1" applyFont="1" applyBorder="1" applyProtection="1">
      <protection locked="0"/>
    </xf>
    <xf numFmtId="4" fontId="1" fillId="0" borderId="3" xfId="1" applyNumberFormat="1" applyFont="1" applyBorder="1" applyProtection="1">
      <protection locked="0"/>
    </xf>
    <xf numFmtId="4" fontId="0" fillId="0" borderId="0" xfId="0" applyNumberFormat="1" applyProtection="1">
      <protection locked="0"/>
    </xf>
    <xf numFmtId="4" fontId="0" fillId="0" borderId="0" xfId="0" applyNumberFormat="1" applyBorder="1" applyProtection="1">
      <protection locked="0"/>
    </xf>
    <xf numFmtId="4" fontId="0" fillId="0" borderId="3" xfId="1" applyNumberFormat="1" applyFont="1" applyBorder="1" applyProtection="1">
      <protection locked="0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 applyProtection="1">
      <alignment horizontal="right"/>
      <protection locked="0"/>
    </xf>
    <xf numFmtId="0" fontId="0" fillId="0" borderId="7" xfId="0" applyBorder="1" applyAlignment="1">
      <alignment horizontal="left" wrapText="1" indent="1"/>
    </xf>
    <xf numFmtId="0" fontId="0" fillId="0" borderId="8" xfId="0" applyBorder="1" applyAlignment="1">
      <alignment horizontal="left" wrapText="1" indent="1"/>
    </xf>
    <xf numFmtId="0" fontId="0" fillId="0" borderId="1" xfId="0" applyBorder="1" applyAlignment="1">
      <alignment horizontal="left" wrapText="1" indent="1"/>
    </xf>
    <xf numFmtId="0" fontId="0" fillId="0" borderId="2" xfId="0" applyBorder="1" applyAlignment="1">
      <alignment horizontal="left" wrapText="1" inden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2" fillId="2" borderId="12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2" fillId="2" borderId="10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horizontal="left" wrapText="1"/>
    </xf>
    <xf numFmtId="0" fontId="2" fillId="2" borderId="10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2" fillId="0" borderId="11" xfId="0" applyFont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4" fontId="2" fillId="0" borderId="2" xfId="0" applyNumberFormat="1" applyFont="1" applyBorder="1" applyProtection="1">
      <protection locked="0"/>
    </xf>
    <xf numFmtId="4" fontId="0" fillId="0" borderId="3" xfId="0" applyNumberFormat="1" applyBorder="1" applyProtection="1">
      <protection locked="0"/>
    </xf>
    <xf numFmtId="4" fontId="2" fillId="0" borderId="3" xfId="0" applyNumberFormat="1" applyFont="1" applyBorder="1" applyProtection="1"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0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wrapText="1" indent="1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 wrapText="1" indent="1"/>
      <protection locked="0"/>
    </xf>
    <xf numFmtId="44" fontId="0" fillId="0" borderId="2" xfId="2" applyFont="1" applyBorder="1" applyProtection="1">
      <protection locked="0"/>
    </xf>
    <xf numFmtId="4" fontId="0" fillId="0" borderId="2" xfId="0" applyNumberFormat="1" applyBorder="1" applyAlignment="1" applyProtection="1">
      <protection locked="0"/>
    </xf>
    <xf numFmtId="44" fontId="0" fillId="0" borderId="3" xfId="2" applyFont="1" applyBorder="1" applyAlignment="1" applyProtection="1">
      <protection locked="0"/>
    </xf>
    <xf numFmtId="0" fontId="0" fillId="0" borderId="14" xfId="0" applyFont="1" applyFill="1" applyBorder="1" applyAlignment="1" applyProtection="1">
      <alignment horizontal="left"/>
      <protection locked="0"/>
    </xf>
    <xf numFmtId="0" fontId="0" fillId="0" borderId="4" xfId="0" applyFont="1" applyFill="1" applyBorder="1" applyAlignment="1" applyProtection="1">
      <alignment horizontal="left"/>
      <protection locked="0"/>
    </xf>
    <xf numFmtId="44" fontId="1" fillId="0" borderId="6" xfId="2" applyFont="1" applyFill="1" applyBorder="1" applyAlignment="1" applyProtection="1">
      <protection locked="0"/>
    </xf>
    <xf numFmtId="0" fontId="0" fillId="0" borderId="14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44" fontId="0" fillId="0" borderId="6" xfId="2" applyFont="1" applyBorder="1" applyAlignment="1" applyProtection="1">
      <protection locked="0"/>
    </xf>
    <xf numFmtId="0" fontId="0" fillId="0" borderId="1" xfId="0" applyBorder="1" applyAlignment="1" applyProtection="1">
      <protection locked="0"/>
    </xf>
    <xf numFmtId="43" fontId="0" fillId="0" borderId="2" xfId="1" applyFont="1" applyBorder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 applyAlignment="1" applyProtection="1">
      <protection locked="0"/>
    </xf>
    <xf numFmtId="0" fontId="0" fillId="0" borderId="1" xfId="0" applyBorder="1" applyAlignment="1" applyProtection="1">
      <alignment wrapText="1"/>
      <protection locked="0"/>
    </xf>
    <xf numFmtId="4" fontId="0" fillId="0" borderId="2" xfId="0" applyNumberFormat="1" applyBorder="1" applyAlignment="1" applyProtection="1">
      <alignment wrapText="1"/>
      <protection locked="0"/>
    </xf>
    <xf numFmtId="4" fontId="0" fillId="0" borderId="8" xfId="0" applyNumberFormat="1" applyBorder="1" applyProtection="1">
      <protection locked="0"/>
    </xf>
    <xf numFmtId="4" fontId="2" fillId="0" borderId="5" xfId="0" applyNumberFormat="1" applyFont="1" applyBorder="1" applyProtection="1">
      <protection locked="0"/>
    </xf>
    <xf numFmtId="4" fontId="0" fillId="0" borderId="5" xfId="0" applyNumberFormat="1" applyBorder="1" applyProtection="1">
      <protection locked="0"/>
    </xf>
    <xf numFmtId="4" fontId="0" fillId="0" borderId="6" xfId="0" applyNumberFormat="1" applyBorder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44" fontId="0" fillId="0" borderId="2" xfId="2" applyFont="1" applyBorder="1" applyAlignment="1" applyProtection="1">
      <alignment horizontal="left"/>
      <protection locked="0"/>
    </xf>
    <xf numFmtId="4" fontId="2" fillId="2" borderId="5" xfId="0" applyNumberFormat="1" applyFont="1" applyFill="1" applyBorder="1" applyProtection="1">
      <protection locked="0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0"/>
  <sheetViews>
    <sheetView topLeftCell="A60" zoomScaleNormal="100" workbookViewId="0">
      <selection activeCell="D74" sqref="D74"/>
    </sheetView>
  </sheetViews>
  <sheetFormatPr defaultRowHeight="15" x14ac:dyDescent="0.25"/>
  <cols>
    <col min="1" max="1" width="67.28515625" style="1" customWidth="1"/>
    <col min="2" max="2" width="16.85546875" bestFit="1" customWidth="1"/>
    <col min="3" max="3" width="24.7109375" bestFit="1" customWidth="1"/>
    <col min="4" max="4" width="23.7109375" bestFit="1" customWidth="1"/>
    <col min="5" max="5" width="14.42578125" bestFit="1" customWidth="1"/>
  </cols>
  <sheetData>
    <row r="1" spans="1:10" x14ac:dyDescent="0.25">
      <c r="A1" s="137" t="s">
        <v>0</v>
      </c>
      <c r="B1" s="137"/>
      <c r="C1" s="137"/>
      <c r="D1" s="137"/>
      <c r="E1" s="137"/>
      <c r="F1" s="103"/>
      <c r="G1" s="103"/>
      <c r="H1" s="103"/>
      <c r="I1" s="103"/>
      <c r="J1" s="103"/>
    </row>
    <row r="2" spans="1:10" x14ac:dyDescent="0.25">
      <c r="A2" s="124" t="s">
        <v>492</v>
      </c>
      <c r="B2" s="138" t="s">
        <v>493</v>
      </c>
      <c r="C2" s="138"/>
      <c r="D2" s="138"/>
      <c r="E2" s="138"/>
      <c r="F2" s="102"/>
      <c r="G2" s="102"/>
      <c r="H2" s="102"/>
      <c r="I2" s="102"/>
      <c r="J2" s="102"/>
    </row>
    <row r="3" spans="1:10" ht="30" x14ac:dyDescent="0.25">
      <c r="A3" s="10" t="s">
        <v>1</v>
      </c>
      <c r="B3" s="44" t="s">
        <v>2</v>
      </c>
      <c r="C3" s="44" t="s">
        <v>3</v>
      </c>
      <c r="D3" s="44" t="s">
        <v>4</v>
      </c>
      <c r="E3" s="46" t="s">
        <v>5</v>
      </c>
    </row>
    <row r="4" spans="1:10" x14ac:dyDescent="0.25">
      <c r="A4" s="3" t="s">
        <v>6</v>
      </c>
      <c r="B4" s="4">
        <f>B5+B9+B13+B21+B25+B30+B31+B38</f>
        <v>0</v>
      </c>
      <c r="C4" s="4">
        <f t="shared" ref="C4:D4" si="0">C5+C9+C13+C21+C25+C30+C31+C38</f>
        <v>0</v>
      </c>
      <c r="D4" s="4">
        <f t="shared" si="0"/>
        <v>0</v>
      </c>
      <c r="E4" s="5">
        <f>D4-C4</f>
        <v>0</v>
      </c>
    </row>
    <row r="5" spans="1:10" x14ac:dyDescent="0.25">
      <c r="A5" s="6" t="s">
        <v>7</v>
      </c>
      <c r="B5" s="7">
        <f>SUM(B6:B8)</f>
        <v>0</v>
      </c>
      <c r="C5" s="7">
        <f t="shared" ref="C5:D5" si="1">SUM(C6:C8)</f>
        <v>0</v>
      </c>
      <c r="D5" s="7">
        <f t="shared" si="1"/>
        <v>0</v>
      </c>
      <c r="E5" s="8">
        <f t="shared" ref="E5:E68" si="2">D5-C5</f>
        <v>0</v>
      </c>
    </row>
    <row r="6" spans="1:10" x14ac:dyDescent="0.25">
      <c r="A6" s="9" t="s">
        <v>8</v>
      </c>
      <c r="B6" s="125"/>
      <c r="C6" s="125"/>
      <c r="D6" s="125"/>
      <c r="E6" s="8">
        <f t="shared" si="2"/>
        <v>0</v>
      </c>
    </row>
    <row r="7" spans="1:10" x14ac:dyDescent="0.25">
      <c r="A7" s="9" t="s">
        <v>9</v>
      </c>
      <c r="B7" s="125"/>
      <c r="C7" s="125"/>
      <c r="D7" s="125"/>
      <c r="E7" s="8">
        <f t="shared" si="2"/>
        <v>0</v>
      </c>
    </row>
    <row r="8" spans="1:10" x14ac:dyDescent="0.25">
      <c r="A8" s="9" t="s">
        <v>10</v>
      </c>
      <c r="B8" s="125"/>
      <c r="C8" s="125"/>
      <c r="D8" s="125"/>
      <c r="E8" s="8">
        <f t="shared" si="2"/>
        <v>0</v>
      </c>
    </row>
    <row r="9" spans="1:10" x14ac:dyDescent="0.25">
      <c r="A9" s="6" t="s">
        <v>11</v>
      </c>
      <c r="B9" s="7">
        <f>SUM(B10:B12)</f>
        <v>0</v>
      </c>
      <c r="C9" s="7">
        <f t="shared" ref="C9:D9" si="3">SUM(C10:C12)</f>
        <v>0</v>
      </c>
      <c r="D9" s="7">
        <f t="shared" si="3"/>
        <v>0</v>
      </c>
      <c r="E9" s="8">
        <f t="shared" si="2"/>
        <v>0</v>
      </c>
    </row>
    <row r="10" spans="1:10" x14ac:dyDescent="0.25">
      <c r="A10" s="9" t="s">
        <v>12</v>
      </c>
      <c r="B10" s="125"/>
      <c r="C10" s="125"/>
      <c r="D10" s="125"/>
      <c r="E10" s="8">
        <f t="shared" si="2"/>
        <v>0</v>
      </c>
    </row>
    <row r="11" spans="1:10" x14ac:dyDescent="0.25">
      <c r="A11" s="9" t="s">
        <v>13</v>
      </c>
      <c r="B11" s="125"/>
      <c r="C11" s="125"/>
      <c r="D11" s="125"/>
      <c r="E11" s="8">
        <f t="shared" si="2"/>
        <v>0</v>
      </c>
    </row>
    <row r="12" spans="1:10" x14ac:dyDescent="0.25">
      <c r="A12" s="9" t="s">
        <v>124</v>
      </c>
      <c r="B12" s="125"/>
      <c r="C12" s="125"/>
      <c r="D12" s="125"/>
      <c r="E12" s="8">
        <f t="shared" si="2"/>
        <v>0</v>
      </c>
    </row>
    <row r="13" spans="1:10" x14ac:dyDescent="0.25">
      <c r="A13" s="6" t="s">
        <v>14</v>
      </c>
      <c r="B13" s="7">
        <f>SUM(B14:B20)</f>
        <v>0</v>
      </c>
      <c r="C13" s="7">
        <f t="shared" ref="C13:D13" si="4">SUM(C14:C20)</f>
        <v>0</v>
      </c>
      <c r="D13" s="7">
        <f t="shared" si="4"/>
        <v>0</v>
      </c>
      <c r="E13" s="8">
        <f t="shared" si="2"/>
        <v>0</v>
      </c>
    </row>
    <row r="14" spans="1:10" x14ac:dyDescent="0.25">
      <c r="A14" s="9" t="s">
        <v>15</v>
      </c>
      <c r="B14" s="125"/>
      <c r="C14" s="125"/>
      <c r="D14" s="125"/>
      <c r="E14" s="8">
        <f t="shared" si="2"/>
        <v>0</v>
      </c>
    </row>
    <row r="15" spans="1:10" x14ac:dyDescent="0.25">
      <c r="A15" s="9" t="s">
        <v>16</v>
      </c>
      <c r="B15" s="125"/>
      <c r="C15" s="125"/>
      <c r="D15" s="125"/>
      <c r="E15" s="8">
        <f t="shared" si="2"/>
        <v>0</v>
      </c>
    </row>
    <row r="16" spans="1:10" x14ac:dyDescent="0.25">
      <c r="A16" s="9" t="s">
        <v>17</v>
      </c>
      <c r="B16" s="125"/>
      <c r="C16" s="125"/>
      <c r="D16" s="125"/>
      <c r="E16" s="8">
        <f t="shared" si="2"/>
        <v>0</v>
      </c>
    </row>
    <row r="17" spans="1:5" x14ac:dyDescent="0.25">
      <c r="A17" s="9" t="s">
        <v>18</v>
      </c>
      <c r="B17" s="125"/>
      <c r="C17" s="125"/>
      <c r="D17" s="125"/>
      <c r="E17" s="8">
        <f t="shared" si="2"/>
        <v>0</v>
      </c>
    </row>
    <row r="18" spans="1:5" ht="30" x14ac:dyDescent="0.25">
      <c r="A18" s="9" t="s">
        <v>19</v>
      </c>
      <c r="B18" s="125"/>
      <c r="C18" s="125"/>
      <c r="D18" s="125"/>
      <c r="E18" s="8">
        <f t="shared" si="2"/>
        <v>0</v>
      </c>
    </row>
    <row r="19" spans="1:5" x14ac:dyDescent="0.25">
      <c r="A19" s="9" t="s">
        <v>20</v>
      </c>
      <c r="B19" s="125"/>
      <c r="C19" s="125"/>
      <c r="D19" s="125"/>
      <c r="E19" s="8">
        <f t="shared" si="2"/>
        <v>0</v>
      </c>
    </row>
    <row r="20" spans="1:5" x14ac:dyDescent="0.25">
      <c r="A20" s="9" t="s">
        <v>21</v>
      </c>
      <c r="B20" s="125"/>
      <c r="C20" s="125"/>
      <c r="D20" s="125"/>
      <c r="E20" s="8">
        <f t="shared" si="2"/>
        <v>0</v>
      </c>
    </row>
    <row r="21" spans="1:5" x14ac:dyDescent="0.25">
      <c r="A21" s="6" t="s">
        <v>22</v>
      </c>
      <c r="B21" s="7">
        <f>SUM(B22:B24)</f>
        <v>0</v>
      </c>
      <c r="C21" s="7">
        <f t="shared" ref="C21:D21" si="5">SUM(C22:C24)</f>
        <v>0</v>
      </c>
      <c r="D21" s="7">
        <f t="shared" si="5"/>
        <v>0</v>
      </c>
      <c r="E21" s="8">
        <f t="shared" si="2"/>
        <v>0</v>
      </c>
    </row>
    <row r="22" spans="1:5" x14ac:dyDescent="0.25">
      <c r="A22" s="9" t="s">
        <v>23</v>
      </c>
      <c r="B22" s="125"/>
      <c r="C22" s="125"/>
      <c r="D22" s="125"/>
      <c r="E22" s="8">
        <f t="shared" si="2"/>
        <v>0</v>
      </c>
    </row>
    <row r="23" spans="1:5" x14ac:dyDescent="0.25">
      <c r="A23" s="9" t="s">
        <v>24</v>
      </c>
      <c r="B23" s="125"/>
      <c r="C23" s="125"/>
      <c r="D23" s="125"/>
      <c r="E23" s="8">
        <f t="shared" si="2"/>
        <v>0</v>
      </c>
    </row>
    <row r="24" spans="1:5" x14ac:dyDescent="0.25">
      <c r="A24" s="9" t="s">
        <v>25</v>
      </c>
      <c r="B24" s="125"/>
      <c r="C24" s="125"/>
      <c r="D24" s="125"/>
      <c r="E24" s="8">
        <f t="shared" si="2"/>
        <v>0</v>
      </c>
    </row>
    <row r="25" spans="1:5" x14ac:dyDescent="0.25">
      <c r="A25" s="6" t="s">
        <v>26</v>
      </c>
      <c r="B25" s="7">
        <f>SUM(B26:B29)</f>
        <v>0</v>
      </c>
      <c r="C25" s="7">
        <f t="shared" ref="C25:D25" si="6">SUM(C26:C29)</f>
        <v>0</v>
      </c>
      <c r="D25" s="7">
        <f t="shared" si="6"/>
        <v>0</v>
      </c>
      <c r="E25" s="8">
        <f t="shared" si="2"/>
        <v>0</v>
      </c>
    </row>
    <row r="26" spans="1:5" x14ac:dyDescent="0.25">
      <c r="A26" s="9" t="s">
        <v>27</v>
      </c>
      <c r="B26" s="125"/>
      <c r="C26" s="125"/>
      <c r="D26" s="125"/>
      <c r="E26" s="8">
        <f t="shared" si="2"/>
        <v>0</v>
      </c>
    </row>
    <row r="27" spans="1:5" x14ac:dyDescent="0.25">
      <c r="A27" s="9" t="s">
        <v>28</v>
      </c>
      <c r="B27" s="125"/>
      <c r="C27" s="125"/>
      <c r="D27" s="125"/>
      <c r="E27" s="8">
        <f t="shared" si="2"/>
        <v>0</v>
      </c>
    </row>
    <row r="28" spans="1:5" x14ac:dyDescent="0.25">
      <c r="A28" s="9" t="s">
        <v>29</v>
      </c>
      <c r="B28" s="125"/>
      <c r="C28" s="125"/>
      <c r="D28" s="125"/>
      <c r="E28" s="8">
        <f t="shared" si="2"/>
        <v>0</v>
      </c>
    </row>
    <row r="29" spans="1:5" x14ac:dyDescent="0.25">
      <c r="A29" s="9" t="s">
        <v>30</v>
      </c>
      <c r="B29" s="125"/>
      <c r="C29" s="125"/>
      <c r="D29" s="125"/>
      <c r="E29" s="8">
        <f t="shared" si="2"/>
        <v>0</v>
      </c>
    </row>
    <row r="30" spans="1:5" x14ac:dyDescent="0.25">
      <c r="A30" s="6" t="s">
        <v>31</v>
      </c>
      <c r="B30" s="125"/>
      <c r="C30" s="125"/>
      <c r="D30" s="125"/>
      <c r="E30" s="8">
        <f t="shared" si="2"/>
        <v>0</v>
      </c>
    </row>
    <row r="31" spans="1:5" x14ac:dyDescent="0.25">
      <c r="A31" s="6" t="s">
        <v>32</v>
      </c>
      <c r="B31" s="7">
        <f>SUM(B32:B37)</f>
        <v>0</v>
      </c>
      <c r="C31" s="7">
        <f t="shared" ref="C31:D31" si="7">SUM(C32:C37)</f>
        <v>0</v>
      </c>
      <c r="D31" s="7">
        <f t="shared" si="7"/>
        <v>0</v>
      </c>
      <c r="E31" s="8">
        <f t="shared" si="2"/>
        <v>0</v>
      </c>
    </row>
    <row r="32" spans="1:5" x14ac:dyDescent="0.25">
      <c r="A32" s="9" t="s">
        <v>33</v>
      </c>
      <c r="B32" s="125"/>
      <c r="C32" s="125"/>
      <c r="D32" s="125"/>
      <c r="E32" s="8">
        <f t="shared" si="2"/>
        <v>0</v>
      </c>
    </row>
    <row r="33" spans="1:5" x14ac:dyDescent="0.25">
      <c r="A33" s="9" t="s">
        <v>34</v>
      </c>
      <c r="B33" s="125"/>
      <c r="C33" s="125"/>
      <c r="D33" s="125"/>
      <c r="E33" s="8">
        <f t="shared" si="2"/>
        <v>0</v>
      </c>
    </row>
    <row r="34" spans="1:5" x14ac:dyDescent="0.25">
      <c r="A34" s="9" t="s">
        <v>35</v>
      </c>
      <c r="B34" s="125"/>
      <c r="C34" s="125"/>
      <c r="D34" s="125"/>
      <c r="E34" s="8">
        <f t="shared" si="2"/>
        <v>0</v>
      </c>
    </row>
    <row r="35" spans="1:5" x14ac:dyDescent="0.25">
      <c r="A35" s="9" t="s">
        <v>36</v>
      </c>
      <c r="B35" s="125"/>
      <c r="C35" s="125"/>
      <c r="D35" s="125"/>
      <c r="E35" s="8">
        <f t="shared" si="2"/>
        <v>0</v>
      </c>
    </row>
    <row r="36" spans="1:5" x14ac:dyDescent="0.25">
      <c r="A36" s="9" t="s">
        <v>37</v>
      </c>
      <c r="B36" s="125"/>
      <c r="C36" s="125"/>
      <c r="D36" s="125"/>
      <c r="E36" s="8">
        <f t="shared" si="2"/>
        <v>0</v>
      </c>
    </row>
    <row r="37" spans="1:5" x14ac:dyDescent="0.25">
      <c r="A37" s="9" t="s">
        <v>38</v>
      </c>
      <c r="B37" s="125"/>
      <c r="C37" s="125"/>
      <c r="D37" s="125"/>
      <c r="E37" s="8">
        <f t="shared" si="2"/>
        <v>0</v>
      </c>
    </row>
    <row r="38" spans="1:5" x14ac:dyDescent="0.25">
      <c r="A38" s="6" t="s">
        <v>39</v>
      </c>
      <c r="B38" s="7">
        <f>SUM(B39:B43)</f>
        <v>0</v>
      </c>
      <c r="C38" s="7">
        <f t="shared" ref="C38:D38" si="8">SUM(C39:C43)</f>
        <v>0</v>
      </c>
      <c r="D38" s="7">
        <f t="shared" si="8"/>
        <v>0</v>
      </c>
      <c r="E38" s="8">
        <f t="shared" si="2"/>
        <v>0</v>
      </c>
    </row>
    <row r="39" spans="1:5" x14ac:dyDescent="0.25">
      <c r="A39" s="9" t="s">
        <v>40</v>
      </c>
      <c r="B39" s="125"/>
      <c r="C39" s="125"/>
      <c r="D39" s="125"/>
      <c r="E39" s="8">
        <f t="shared" si="2"/>
        <v>0</v>
      </c>
    </row>
    <row r="40" spans="1:5" x14ac:dyDescent="0.25">
      <c r="A40" s="9" t="s">
        <v>41</v>
      </c>
      <c r="B40" s="125"/>
      <c r="C40" s="125"/>
      <c r="D40" s="125"/>
      <c r="E40" s="8">
        <f t="shared" si="2"/>
        <v>0</v>
      </c>
    </row>
    <row r="41" spans="1:5" x14ac:dyDescent="0.25">
      <c r="A41" s="9" t="s">
        <v>42</v>
      </c>
      <c r="B41" s="125"/>
      <c r="C41" s="125"/>
      <c r="D41" s="125"/>
      <c r="E41" s="8">
        <f t="shared" si="2"/>
        <v>0</v>
      </c>
    </row>
    <row r="42" spans="1:5" ht="30" x14ac:dyDescent="0.25">
      <c r="A42" s="9" t="s">
        <v>43</v>
      </c>
      <c r="B42" s="125"/>
      <c r="C42" s="125"/>
      <c r="D42" s="125"/>
      <c r="E42" s="8">
        <f t="shared" si="2"/>
        <v>0</v>
      </c>
    </row>
    <row r="43" spans="1:5" x14ac:dyDescent="0.25">
      <c r="A43" s="9" t="s">
        <v>44</v>
      </c>
      <c r="B43" s="125"/>
      <c r="C43" s="125"/>
      <c r="D43" s="125"/>
      <c r="E43" s="8">
        <f t="shared" si="2"/>
        <v>0</v>
      </c>
    </row>
    <row r="44" spans="1:5" x14ac:dyDescent="0.25">
      <c r="A44" s="3" t="s">
        <v>45</v>
      </c>
      <c r="B44" s="4">
        <f>B45+B48+B51+B52+B60</f>
        <v>0</v>
      </c>
      <c r="C44" s="4">
        <f t="shared" ref="C44:D44" si="9">C45+C48+C51+C52+C60</f>
        <v>0</v>
      </c>
      <c r="D44" s="4">
        <f t="shared" si="9"/>
        <v>0</v>
      </c>
      <c r="E44" s="5">
        <f t="shared" si="2"/>
        <v>0</v>
      </c>
    </row>
    <row r="45" spans="1:5" x14ac:dyDescent="0.25">
      <c r="A45" s="6" t="s">
        <v>46</v>
      </c>
      <c r="B45" s="7">
        <f>SUM(B46:B47)</f>
        <v>0</v>
      </c>
      <c r="C45" s="7">
        <f t="shared" ref="C45:D45" si="10">SUM(C46:C47)</f>
        <v>0</v>
      </c>
      <c r="D45" s="7">
        <f t="shared" si="10"/>
        <v>0</v>
      </c>
      <c r="E45" s="8">
        <f t="shared" si="2"/>
        <v>0</v>
      </c>
    </row>
    <row r="46" spans="1:5" x14ac:dyDescent="0.25">
      <c r="A46" s="9" t="s">
        <v>47</v>
      </c>
      <c r="B46" s="125"/>
      <c r="C46" s="125"/>
      <c r="D46" s="125"/>
      <c r="E46" s="8">
        <f t="shared" si="2"/>
        <v>0</v>
      </c>
    </row>
    <row r="47" spans="1:5" x14ac:dyDescent="0.25">
      <c r="A47" s="9" t="s">
        <v>48</v>
      </c>
      <c r="B47" s="125"/>
      <c r="C47" s="125"/>
      <c r="D47" s="125"/>
      <c r="E47" s="8">
        <f t="shared" si="2"/>
        <v>0</v>
      </c>
    </row>
    <row r="48" spans="1:5" x14ac:dyDescent="0.25">
      <c r="A48" s="6" t="s">
        <v>49</v>
      </c>
      <c r="B48" s="7">
        <f>SUM(B49:B50)</f>
        <v>0</v>
      </c>
      <c r="C48" s="7">
        <f t="shared" ref="C48:D48" si="11">SUM(C49:C50)</f>
        <v>0</v>
      </c>
      <c r="D48" s="7">
        <f t="shared" si="11"/>
        <v>0</v>
      </c>
      <c r="E48" s="8">
        <f t="shared" si="2"/>
        <v>0</v>
      </c>
    </row>
    <row r="49" spans="1:5" x14ac:dyDescent="0.25">
      <c r="A49" s="9" t="s">
        <v>50</v>
      </c>
      <c r="B49" s="125"/>
      <c r="C49" s="125"/>
      <c r="D49" s="125"/>
      <c r="E49" s="8">
        <f t="shared" si="2"/>
        <v>0</v>
      </c>
    </row>
    <row r="50" spans="1:5" x14ac:dyDescent="0.25">
      <c r="A50" s="9" t="s">
        <v>51</v>
      </c>
      <c r="B50" s="125"/>
      <c r="C50" s="125"/>
      <c r="D50" s="125"/>
      <c r="E50" s="8">
        <f t="shared" si="2"/>
        <v>0</v>
      </c>
    </row>
    <row r="51" spans="1:5" x14ac:dyDescent="0.25">
      <c r="A51" s="6" t="s">
        <v>52</v>
      </c>
      <c r="B51" s="125"/>
      <c r="C51" s="125"/>
      <c r="D51" s="125"/>
      <c r="E51" s="8">
        <f t="shared" si="2"/>
        <v>0</v>
      </c>
    </row>
    <row r="52" spans="1:5" x14ac:dyDescent="0.25">
      <c r="A52" s="6" t="s">
        <v>53</v>
      </c>
      <c r="B52" s="7">
        <f>SUM(B53:B59)</f>
        <v>0</v>
      </c>
      <c r="C52" s="7">
        <f t="shared" ref="C52:D52" si="12">SUM(C53:C59)</f>
        <v>0</v>
      </c>
      <c r="D52" s="7">
        <f t="shared" si="12"/>
        <v>0</v>
      </c>
      <c r="E52" s="8">
        <f t="shared" si="2"/>
        <v>0</v>
      </c>
    </row>
    <row r="53" spans="1:5" x14ac:dyDescent="0.25">
      <c r="A53" s="9" t="s">
        <v>33</v>
      </c>
      <c r="B53" s="125"/>
      <c r="C53" s="125"/>
      <c r="D53" s="125"/>
      <c r="E53" s="8">
        <f t="shared" si="2"/>
        <v>0</v>
      </c>
    </row>
    <row r="54" spans="1:5" x14ac:dyDescent="0.25">
      <c r="A54" s="9" t="s">
        <v>34</v>
      </c>
      <c r="B54" s="125"/>
      <c r="C54" s="125"/>
      <c r="D54" s="125"/>
      <c r="E54" s="8">
        <f t="shared" si="2"/>
        <v>0</v>
      </c>
    </row>
    <row r="55" spans="1:5" x14ac:dyDescent="0.25">
      <c r="A55" s="9" t="s">
        <v>35</v>
      </c>
      <c r="B55" s="125"/>
      <c r="C55" s="125"/>
      <c r="D55" s="125"/>
      <c r="E55" s="8">
        <f t="shared" si="2"/>
        <v>0</v>
      </c>
    </row>
    <row r="56" spans="1:5" x14ac:dyDescent="0.25">
      <c r="A56" s="9" t="s">
        <v>36</v>
      </c>
      <c r="B56" s="125"/>
      <c r="C56" s="125"/>
      <c r="D56" s="125"/>
      <c r="E56" s="8">
        <f t="shared" si="2"/>
        <v>0</v>
      </c>
    </row>
    <row r="57" spans="1:5" x14ac:dyDescent="0.25">
      <c r="A57" s="9" t="s">
        <v>54</v>
      </c>
      <c r="B57" s="125"/>
      <c r="C57" s="125"/>
      <c r="D57" s="125"/>
      <c r="E57" s="8">
        <f t="shared" si="2"/>
        <v>0</v>
      </c>
    </row>
    <row r="58" spans="1:5" x14ac:dyDescent="0.25">
      <c r="A58" s="9" t="s">
        <v>37</v>
      </c>
      <c r="B58" s="125"/>
      <c r="C58" s="125"/>
      <c r="D58" s="125"/>
      <c r="E58" s="8">
        <f t="shared" si="2"/>
        <v>0</v>
      </c>
    </row>
    <row r="59" spans="1:5" x14ac:dyDescent="0.25">
      <c r="A59" s="9" t="s">
        <v>38</v>
      </c>
      <c r="B59" s="125"/>
      <c r="C59" s="125"/>
      <c r="D59" s="125"/>
      <c r="E59" s="8">
        <f t="shared" si="2"/>
        <v>0</v>
      </c>
    </row>
    <row r="60" spans="1:5" x14ac:dyDescent="0.25">
      <c r="A60" s="6" t="s">
        <v>55</v>
      </c>
      <c r="B60" s="7">
        <f>SUM(B61:B64)</f>
        <v>0</v>
      </c>
      <c r="C60" s="7">
        <f t="shared" ref="C60:D60" si="13">SUM(C61:C64)</f>
        <v>0</v>
      </c>
      <c r="D60" s="7">
        <f t="shared" si="13"/>
        <v>0</v>
      </c>
      <c r="E60" s="8">
        <f t="shared" si="2"/>
        <v>0</v>
      </c>
    </row>
    <row r="61" spans="1:5" x14ac:dyDescent="0.25">
      <c r="A61" s="9" t="s">
        <v>56</v>
      </c>
      <c r="B61" s="125"/>
      <c r="C61" s="125"/>
      <c r="D61" s="125"/>
      <c r="E61" s="8">
        <f t="shared" si="2"/>
        <v>0</v>
      </c>
    </row>
    <row r="62" spans="1:5" ht="30" x14ac:dyDescent="0.25">
      <c r="A62" s="9" t="s">
        <v>57</v>
      </c>
      <c r="B62" s="125"/>
      <c r="C62" s="125"/>
      <c r="D62" s="125"/>
      <c r="E62" s="8">
        <f t="shared" si="2"/>
        <v>0</v>
      </c>
    </row>
    <row r="63" spans="1:5" x14ac:dyDescent="0.25">
      <c r="A63" s="9" t="s">
        <v>58</v>
      </c>
      <c r="B63" s="125"/>
      <c r="C63" s="125"/>
      <c r="D63" s="125"/>
      <c r="E63" s="8">
        <f t="shared" si="2"/>
        <v>0</v>
      </c>
    </row>
    <row r="64" spans="1:5" x14ac:dyDescent="0.25">
      <c r="A64" s="9" t="s">
        <v>59</v>
      </c>
      <c r="B64" s="125"/>
      <c r="C64" s="125"/>
      <c r="D64" s="125"/>
      <c r="E64" s="8">
        <f t="shared" si="2"/>
        <v>0</v>
      </c>
    </row>
    <row r="65" spans="1:5" x14ac:dyDescent="0.25">
      <c r="A65" s="12" t="s">
        <v>60</v>
      </c>
      <c r="B65" s="13">
        <f>B4+B44</f>
        <v>0</v>
      </c>
      <c r="C65" s="13">
        <f t="shared" ref="C65:D65" si="14">C4+C44</f>
        <v>0</v>
      </c>
      <c r="D65" s="13">
        <f t="shared" si="14"/>
        <v>0</v>
      </c>
      <c r="E65" s="14">
        <f t="shared" si="2"/>
        <v>0</v>
      </c>
    </row>
    <row r="66" spans="1:5" x14ac:dyDescent="0.25">
      <c r="A66" s="3" t="s">
        <v>61</v>
      </c>
      <c r="B66" s="4">
        <f>B67+B70</f>
        <v>0</v>
      </c>
      <c r="C66" s="4">
        <f t="shared" ref="C66:D66" si="15">C67+C70</f>
        <v>0</v>
      </c>
      <c r="D66" s="4">
        <f t="shared" si="15"/>
        <v>0</v>
      </c>
      <c r="E66" s="5">
        <f t="shared" si="2"/>
        <v>0</v>
      </c>
    </row>
    <row r="67" spans="1:5" x14ac:dyDescent="0.25">
      <c r="A67" s="6" t="s">
        <v>47</v>
      </c>
      <c r="B67" s="7">
        <f>SUM(B68:B69)</f>
        <v>0</v>
      </c>
      <c r="C67" s="7">
        <f t="shared" ref="C67:D67" si="16">SUM(C68:C69)</f>
        <v>0</v>
      </c>
      <c r="D67" s="7">
        <f t="shared" si="16"/>
        <v>0</v>
      </c>
      <c r="E67" s="8">
        <f t="shared" si="2"/>
        <v>0</v>
      </c>
    </row>
    <row r="68" spans="1:5" x14ac:dyDescent="0.25">
      <c r="A68" s="9" t="s">
        <v>62</v>
      </c>
      <c r="B68" s="125"/>
      <c r="C68" s="125"/>
      <c r="D68" s="125"/>
      <c r="E68" s="8">
        <f t="shared" si="2"/>
        <v>0</v>
      </c>
    </row>
    <row r="69" spans="1:5" x14ac:dyDescent="0.25">
      <c r="A69" s="9" t="s">
        <v>63</v>
      </c>
      <c r="B69" s="125"/>
      <c r="C69" s="125"/>
      <c r="D69" s="125"/>
      <c r="E69" s="8">
        <f t="shared" ref="E69:E73" si="17">D69-C69</f>
        <v>0</v>
      </c>
    </row>
    <row r="70" spans="1:5" x14ac:dyDescent="0.25">
      <c r="A70" s="6" t="s">
        <v>48</v>
      </c>
      <c r="B70" s="7">
        <f>SUM(B71:B72)</f>
        <v>0</v>
      </c>
      <c r="C70" s="7">
        <f t="shared" ref="C70:D70" si="18">SUM(C71:C72)</f>
        <v>0</v>
      </c>
      <c r="D70" s="7">
        <f t="shared" si="18"/>
        <v>0</v>
      </c>
      <c r="E70" s="8">
        <f t="shared" si="17"/>
        <v>0</v>
      </c>
    </row>
    <row r="71" spans="1:5" x14ac:dyDescent="0.25">
      <c r="A71" s="9" t="s">
        <v>62</v>
      </c>
      <c r="B71" s="125"/>
      <c r="C71" s="125"/>
      <c r="D71" s="125"/>
      <c r="E71" s="8">
        <f t="shared" si="17"/>
        <v>0</v>
      </c>
    </row>
    <row r="72" spans="1:5" x14ac:dyDescent="0.25">
      <c r="A72" s="9" t="s">
        <v>63</v>
      </c>
      <c r="B72" s="125"/>
      <c r="C72" s="125"/>
      <c r="D72" s="125"/>
      <c r="E72" s="8">
        <f t="shared" si="17"/>
        <v>0</v>
      </c>
    </row>
    <row r="73" spans="1:5" x14ac:dyDescent="0.25">
      <c r="A73" s="12" t="s">
        <v>64</v>
      </c>
      <c r="B73" s="13">
        <f>B65+B66</f>
        <v>0</v>
      </c>
      <c r="C73" s="13">
        <f t="shared" ref="C73:D73" si="19">C65+C66</f>
        <v>0</v>
      </c>
      <c r="D73" s="13">
        <f t="shared" si="19"/>
        <v>0</v>
      </c>
      <c r="E73" s="14">
        <f t="shared" si="17"/>
        <v>0</v>
      </c>
    </row>
    <row r="74" spans="1:5" x14ac:dyDescent="0.25">
      <c r="A74" s="12" t="s">
        <v>65</v>
      </c>
      <c r="B74" s="13"/>
      <c r="C74" s="13"/>
      <c r="D74" s="72">
        <f>IF(D73&lt;'BO-DESP'!D22,'BO-REC'!D73-'BO-DESP'!D22,0)</f>
        <v>0</v>
      </c>
      <c r="E74" s="14"/>
    </row>
    <row r="75" spans="1:5" x14ac:dyDescent="0.25">
      <c r="A75" s="10" t="s">
        <v>66</v>
      </c>
      <c r="B75" s="15">
        <f>B73+B74</f>
        <v>0</v>
      </c>
      <c r="C75" s="15">
        <f t="shared" ref="C75:D75" si="20">C73+C74</f>
        <v>0</v>
      </c>
      <c r="D75" s="15">
        <f t="shared" si="20"/>
        <v>0</v>
      </c>
      <c r="E75" s="16"/>
    </row>
    <row r="76" spans="1:5" ht="30" x14ac:dyDescent="0.25">
      <c r="A76" s="3" t="s">
        <v>67</v>
      </c>
      <c r="B76" s="4"/>
      <c r="C76" s="4"/>
      <c r="D76" s="4">
        <f t="shared" ref="D76" si="21">SUM(D77:D78)</f>
        <v>0</v>
      </c>
      <c r="E76" s="5"/>
    </row>
    <row r="77" spans="1:5" x14ac:dyDescent="0.25">
      <c r="A77" s="6" t="s">
        <v>68</v>
      </c>
      <c r="B77" s="125"/>
      <c r="C77" s="125"/>
      <c r="D77" s="125"/>
      <c r="E77" s="8"/>
    </row>
    <row r="78" spans="1:5" x14ac:dyDescent="0.25">
      <c r="A78" s="17" t="s">
        <v>69</v>
      </c>
      <c r="B78" s="126"/>
      <c r="C78" s="126"/>
      <c r="D78" s="126"/>
      <c r="E78" s="18"/>
    </row>
    <row r="80" spans="1:5" x14ac:dyDescent="0.25">
      <c r="A80"/>
    </row>
  </sheetData>
  <sheetProtection sheet="1" objects="1" scenarios="1"/>
  <mergeCells count="2">
    <mergeCell ref="A1:E1"/>
    <mergeCell ref="B2:E2"/>
  </mergeCells>
  <printOptions horizontalCentered="1"/>
  <pageMargins left="0.39370078740157483" right="0.39370078740157483" top="1.1811023622047245" bottom="1.5748031496062993" header="0.39370078740157483" footer="0.39370078740157483"/>
  <pageSetup paperSize="9" scale="64" fitToHeight="0" orientation="portrait" r:id="rId1"/>
  <headerFooter>
    <oddHeader>&amp;C&amp;14MUNICÍPIO DE INDEPENDÊNCIA/RS
CNPJ nº 87.612.826/0001-90&amp;RCONSOLIDADO</oddHeader>
    <oddFooter>&amp;LEVERTON DA ROSA
Contador
CRC nº RS-076595/O-3
CPF nº 962.670.200-10&amp;CGILBERTO MARASCA
Prefeito Municipal
CPF nº 262.370.670-00&amp;RJAIR AZILDO MASSUDA GRENZEL
Secretário da Fazenda
CPF nº 499.073.440-87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3"/>
  <sheetViews>
    <sheetView topLeftCell="A63" zoomScale="60" zoomScaleNormal="60" workbookViewId="0">
      <selection activeCell="B96" sqref="B96"/>
    </sheetView>
  </sheetViews>
  <sheetFormatPr defaultColWidth="51.85546875" defaultRowHeight="15" x14ac:dyDescent="0.25"/>
  <cols>
    <col min="1" max="1" width="101.42578125" style="36" bestFit="1" customWidth="1"/>
    <col min="2" max="2" width="36" style="37" bestFit="1" customWidth="1"/>
    <col min="3" max="3" width="33.42578125" style="37" bestFit="1" customWidth="1"/>
    <col min="4" max="4" width="35.7109375" style="37" bestFit="1" customWidth="1"/>
    <col min="5" max="5" width="22" style="37" bestFit="1" customWidth="1"/>
    <col min="6" max="6" width="27.7109375" style="37" bestFit="1" customWidth="1"/>
    <col min="7" max="7" width="33.85546875" style="37" bestFit="1" customWidth="1"/>
  </cols>
  <sheetData>
    <row r="1" spans="1:10" x14ac:dyDescent="0.25">
      <c r="A1" s="137" t="s">
        <v>0</v>
      </c>
      <c r="B1" s="137"/>
      <c r="C1" s="137"/>
      <c r="D1" s="137"/>
      <c r="E1" s="137"/>
      <c r="F1" s="137"/>
      <c r="G1" s="137"/>
      <c r="H1" s="103"/>
      <c r="I1" s="103"/>
      <c r="J1" s="103"/>
    </row>
    <row r="2" spans="1:10" x14ac:dyDescent="0.25">
      <c r="A2" s="104" t="str">
        <f>'BO-REC'!A2</f>
        <v>EXERCÍCIO DE 2015</v>
      </c>
      <c r="B2" s="101"/>
      <c r="C2" s="101"/>
      <c r="D2" s="101"/>
      <c r="E2" s="155" t="str">
        <f>'BO-REC'!B2</f>
        <v>DE 01/01/2015 A 31/12/2015</v>
      </c>
      <c r="F2" s="155"/>
      <c r="G2" s="155"/>
      <c r="H2" s="103"/>
      <c r="I2" s="103"/>
      <c r="J2" s="103"/>
    </row>
    <row r="3" spans="1:10" ht="30" customHeight="1" x14ac:dyDescent="0.25">
      <c r="A3" s="22" t="s">
        <v>70</v>
      </c>
      <c r="B3" s="44" t="s">
        <v>71</v>
      </c>
      <c r="C3" s="44" t="s">
        <v>72</v>
      </c>
      <c r="D3" s="44" t="s">
        <v>73</v>
      </c>
      <c r="E3" s="44" t="s">
        <v>404</v>
      </c>
      <c r="F3" s="44" t="s">
        <v>74</v>
      </c>
      <c r="G3" s="44" t="s">
        <v>403</v>
      </c>
    </row>
    <row r="4" spans="1:10" x14ac:dyDescent="0.25">
      <c r="A4" s="26" t="s">
        <v>75</v>
      </c>
      <c r="B4" s="29">
        <f>SUM(B5:B7)</f>
        <v>0</v>
      </c>
      <c r="C4" s="29">
        <f t="shared" ref="C4:F4" si="0">SUM(C5:C7)</f>
        <v>0</v>
      </c>
      <c r="D4" s="29">
        <f t="shared" si="0"/>
        <v>0</v>
      </c>
      <c r="E4" s="29">
        <f t="shared" si="0"/>
        <v>0</v>
      </c>
      <c r="F4" s="29">
        <f t="shared" si="0"/>
        <v>0</v>
      </c>
      <c r="G4" s="30">
        <f>C4-D4</f>
        <v>0</v>
      </c>
      <c r="H4" s="2"/>
      <c r="I4" s="2"/>
    </row>
    <row r="5" spans="1:10" x14ac:dyDescent="0.25">
      <c r="A5" s="28" t="s">
        <v>76</v>
      </c>
      <c r="B5" s="127"/>
      <c r="C5" s="127"/>
      <c r="D5" s="127"/>
      <c r="E5" s="127"/>
      <c r="F5" s="127"/>
      <c r="G5" s="32">
        <f t="shared" ref="G5:G22" si="1">C5-D5</f>
        <v>0</v>
      </c>
    </row>
    <row r="6" spans="1:10" x14ac:dyDescent="0.25">
      <c r="A6" s="28" t="s">
        <v>77</v>
      </c>
      <c r="B6" s="127"/>
      <c r="C6" s="127"/>
      <c r="D6" s="127"/>
      <c r="E6" s="127"/>
      <c r="F6" s="127"/>
      <c r="G6" s="32">
        <f t="shared" si="1"/>
        <v>0</v>
      </c>
    </row>
    <row r="7" spans="1:10" x14ac:dyDescent="0.25">
      <c r="A7" s="28" t="s">
        <v>78</v>
      </c>
      <c r="B7" s="127"/>
      <c r="C7" s="127"/>
      <c r="D7" s="127"/>
      <c r="E7" s="127"/>
      <c r="F7" s="127"/>
      <c r="G7" s="32">
        <f t="shared" si="1"/>
        <v>0</v>
      </c>
    </row>
    <row r="8" spans="1:10" x14ac:dyDescent="0.25">
      <c r="A8" s="26" t="s">
        <v>79</v>
      </c>
      <c r="B8" s="29">
        <f>SUM(B9:B11)</f>
        <v>0</v>
      </c>
      <c r="C8" s="29">
        <f t="shared" ref="C8:F8" si="2">SUM(C9:C11)</f>
        <v>0</v>
      </c>
      <c r="D8" s="29">
        <f t="shared" si="2"/>
        <v>0</v>
      </c>
      <c r="E8" s="29">
        <f t="shared" si="2"/>
        <v>0</v>
      </c>
      <c r="F8" s="29">
        <f t="shared" si="2"/>
        <v>0</v>
      </c>
      <c r="G8" s="30">
        <f t="shared" si="1"/>
        <v>0</v>
      </c>
      <c r="H8" s="2"/>
      <c r="I8" s="2"/>
    </row>
    <row r="9" spans="1:10" x14ac:dyDescent="0.25">
      <c r="A9" s="28" t="s">
        <v>80</v>
      </c>
      <c r="B9" s="127"/>
      <c r="C9" s="127"/>
      <c r="D9" s="127"/>
      <c r="E9" s="127"/>
      <c r="F9" s="127"/>
      <c r="G9" s="32">
        <f t="shared" si="1"/>
        <v>0</v>
      </c>
    </row>
    <row r="10" spans="1:10" x14ac:dyDescent="0.25">
      <c r="A10" s="28" t="s">
        <v>81</v>
      </c>
      <c r="B10" s="127"/>
      <c r="C10" s="127"/>
      <c r="D10" s="127"/>
      <c r="E10" s="127"/>
      <c r="F10" s="127"/>
      <c r="G10" s="32">
        <f t="shared" si="1"/>
        <v>0</v>
      </c>
    </row>
    <row r="11" spans="1:10" x14ac:dyDescent="0.25">
      <c r="A11" s="28" t="s">
        <v>82</v>
      </c>
      <c r="B11" s="127"/>
      <c r="C11" s="127"/>
      <c r="D11" s="127"/>
      <c r="E11" s="127"/>
      <c r="F11" s="127"/>
      <c r="G11" s="32">
        <f t="shared" si="1"/>
        <v>0</v>
      </c>
    </row>
    <row r="12" spans="1:10" x14ac:dyDescent="0.25">
      <c r="A12" s="26" t="s">
        <v>83</v>
      </c>
      <c r="B12" s="128"/>
      <c r="C12" s="128"/>
      <c r="D12" s="128"/>
      <c r="E12" s="128"/>
      <c r="F12" s="128"/>
      <c r="G12" s="30">
        <f t="shared" si="1"/>
        <v>0</v>
      </c>
    </row>
    <row r="13" spans="1:10" x14ac:dyDescent="0.25">
      <c r="A13" s="26" t="s">
        <v>84</v>
      </c>
      <c r="B13" s="128"/>
      <c r="C13" s="128"/>
      <c r="D13" s="128"/>
      <c r="E13" s="128"/>
      <c r="F13" s="128"/>
      <c r="G13" s="30">
        <f t="shared" si="1"/>
        <v>0</v>
      </c>
    </row>
    <row r="14" spans="1:10" x14ac:dyDescent="0.25">
      <c r="A14" s="23" t="s">
        <v>85</v>
      </c>
      <c r="B14" s="33">
        <f>B4+B8+B12+B13</f>
        <v>0</v>
      </c>
      <c r="C14" s="33">
        <f t="shared" ref="C14:F14" si="3">C4+C8+C12+C13</f>
        <v>0</v>
      </c>
      <c r="D14" s="33">
        <f t="shared" si="3"/>
        <v>0</v>
      </c>
      <c r="E14" s="33">
        <f t="shared" si="3"/>
        <v>0</v>
      </c>
      <c r="F14" s="33">
        <f t="shared" si="3"/>
        <v>0</v>
      </c>
      <c r="G14" s="34">
        <f t="shared" si="1"/>
        <v>0</v>
      </c>
    </row>
    <row r="15" spans="1:10" x14ac:dyDescent="0.25">
      <c r="A15" s="19" t="s">
        <v>86</v>
      </c>
      <c r="B15" s="29">
        <f>B16+B19</f>
        <v>0</v>
      </c>
      <c r="C15" s="29">
        <f t="shared" ref="C15:F15" si="4">C16+C19</f>
        <v>0</v>
      </c>
      <c r="D15" s="29">
        <f t="shared" si="4"/>
        <v>0</v>
      </c>
      <c r="E15" s="29">
        <f t="shared" si="4"/>
        <v>0</v>
      </c>
      <c r="F15" s="29">
        <f t="shared" si="4"/>
        <v>0</v>
      </c>
      <c r="G15" s="30">
        <f t="shared" si="1"/>
        <v>0</v>
      </c>
    </row>
    <row r="16" spans="1:10" x14ac:dyDescent="0.25">
      <c r="A16" s="27" t="s">
        <v>87</v>
      </c>
      <c r="B16" s="31">
        <f>SUM(B17:B18)</f>
        <v>0</v>
      </c>
      <c r="C16" s="31">
        <f t="shared" ref="C16:F16" si="5">SUM(C17:C18)</f>
        <v>0</v>
      </c>
      <c r="D16" s="31">
        <f t="shared" si="5"/>
        <v>0</v>
      </c>
      <c r="E16" s="31">
        <f t="shared" si="5"/>
        <v>0</v>
      </c>
      <c r="F16" s="31">
        <f t="shared" si="5"/>
        <v>0</v>
      </c>
      <c r="G16" s="32">
        <f t="shared" si="1"/>
        <v>0</v>
      </c>
    </row>
    <row r="17" spans="1:7" x14ac:dyDescent="0.25">
      <c r="A17" s="28" t="s">
        <v>88</v>
      </c>
      <c r="B17" s="127"/>
      <c r="C17" s="127"/>
      <c r="D17" s="127"/>
      <c r="E17" s="127"/>
      <c r="F17" s="127"/>
      <c r="G17" s="32">
        <f t="shared" si="1"/>
        <v>0</v>
      </c>
    </row>
    <row r="18" spans="1:7" x14ac:dyDescent="0.25">
      <c r="A18" s="28" t="s">
        <v>89</v>
      </c>
      <c r="B18" s="127"/>
      <c r="C18" s="127"/>
      <c r="D18" s="127"/>
      <c r="E18" s="127"/>
      <c r="F18" s="127"/>
      <c r="G18" s="32">
        <f t="shared" si="1"/>
        <v>0</v>
      </c>
    </row>
    <row r="19" spans="1:7" x14ac:dyDescent="0.25">
      <c r="A19" s="27" t="s">
        <v>90</v>
      </c>
      <c r="B19" s="31">
        <f>SUM(B20:B21)</f>
        <v>0</v>
      </c>
      <c r="C19" s="31">
        <f t="shared" ref="C19:F19" si="6">SUM(C20:C21)</f>
        <v>0</v>
      </c>
      <c r="D19" s="31">
        <f t="shared" si="6"/>
        <v>0</v>
      </c>
      <c r="E19" s="31">
        <f t="shared" si="6"/>
        <v>0</v>
      </c>
      <c r="F19" s="31">
        <f t="shared" si="6"/>
        <v>0</v>
      </c>
      <c r="G19" s="32">
        <f t="shared" si="1"/>
        <v>0</v>
      </c>
    </row>
    <row r="20" spans="1:7" x14ac:dyDescent="0.25">
      <c r="A20" s="28" t="s">
        <v>88</v>
      </c>
      <c r="B20" s="127"/>
      <c r="C20" s="127"/>
      <c r="D20" s="127"/>
      <c r="E20" s="127"/>
      <c r="F20" s="127"/>
      <c r="G20" s="32">
        <f t="shared" si="1"/>
        <v>0</v>
      </c>
    </row>
    <row r="21" spans="1:7" x14ac:dyDescent="0.25">
      <c r="A21" s="28" t="s">
        <v>89</v>
      </c>
      <c r="B21" s="127"/>
      <c r="C21" s="127"/>
      <c r="D21" s="127"/>
      <c r="E21" s="127"/>
      <c r="F21" s="127"/>
      <c r="G21" s="32">
        <f t="shared" si="1"/>
        <v>0</v>
      </c>
    </row>
    <row r="22" spans="1:7" x14ac:dyDescent="0.25">
      <c r="A22" s="23" t="s">
        <v>91</v>
      </c>
      <c r="B22" s="33">
        <f>B14+B15</f>
        <v>0</v>
      </c>
      <c r="C22" s="33">
        <f t="shared" ref="C22:F22" si="7">C14+C15</f>
        <v>0</v>
      </c>
      <c r="D22" s="33">
        <f t="shared" si="7"/>
        <v>0</v>
      </c>
      <c r="E22" s="33">
        <f t="shared" si="7"/>
        <v>0</v>
      </c>
      <c r="F22" s="33">
        <f t="shared" si="7"/>
        <v>0</v>
      </c>
      <c r="G22" s="34">
        <f t="shared" si="1"/>
        <v>0</v>
      </c>
    </row>
    <row r="23" spans="1:7" x14ac:dyDescent="0.25">
      <c r="A23" s="23" t="s">
        <v>92</v>
      </c>
      <c r="B23" s="33"/>
      <c r="C23" s="33"/>
      <c r="D23" s="129">
        <f>IF(D22&lt;'BO-REC'!D73,'BO-REC'!D73-'BO-DESP'!D22,0)</f>
        <v>0</v>
      </c>
      <c r="E23" s="33"/>
      <c r="F23" s="33"/>
      <c r="G23" s="34"/>
    </row>
    <row r="24" spans="1:7" x14ac:dyDescent="0.25">
      <c r="A24" s="22" t="s">
        <v>319</v>
      </c>
      <c r="B24" s="35">
        <f>B22+B23</f>
        <v>0</v>
      </c>
      <c r="C24" s="35">
        <f t="shared" ref="C24:G24" si="8">C22+C23</f>
        <v>0</v>
      </c>
      <c r="D24" s="35">
        <f t="shared" si="8"/>
        <v>0</v>
      </c>
      <c r="E24" s="35">
        <f t="shared" si="8"/>
        <v>0</v>
      </c>
      <c r="F24" s="35">
        <f t="shared" si="8"/>
        <v>0</v>
      </c>
      <c r="G24" s="35">
        <f t="shared" si="8"/>
        <v>0</v>
      </c>
    </row>
    <row r="26" spans="1:7" x14ac:dyDescent="0.25">
      <c r="A26" s="156" t="s">
        <v>93</v>
      </c>
      <c r="B26" s="157"/>
      <c r="C26" s="157"/>
      <c r="D26" s="157"/>
      <c r="E26" s="157"/>
      <c r="F26" s="157"/>
      <c r="G26" s="158"/>
    </row>
    <row r="27" spans="1:7" x14ac:dyDescent="0.25">
      <c r="A27" s="156" t="s">
        <v>94</v>
      </c>
      <c r="B27" s="157" t="s">
        <v>95</v>
      </c>
      <c r="C27" s="157"/>
      <c r="D27" s="157" t="s">
        <v>100</v>
      </c>
      <c r="E27" s="157" t="s">
        <v>98</v>
      </c>
      <c r="F27" s="157" t="s">
        <v>99</v>
      </c>
      <c r="G27" s="158" t="s">
        <v>407</v>
      </c>
    </row>
    <row r="28" spans="1:7" ht="30" x14ac:dyDescent="0.25">
      <c r="A28" s="156"/>
      <c r="B28" s="45" t="s">
        <v>96</v>
      </c>
      <c r="C28" s="45" t="s">
        <v>97</v>
      </c>
      <c r="D28" s="157"/>
      <c r="E28" s="157"/>
      <c r="F28" s="157"/>
      <c r="G28" s="158"/>
    </row>
    <row r="29" spans="1:7" x14ac:dyDescent="0.25">
      <c r="A29" s="26" t="s">
        <v>75</v>
      </c>
      <c r="B29" s="38">
        <f>SUM(B30:B32)</f>
        <v>0</v>
      </c>
      <c r="C29" s="38">
        <f t="shared" ref="C29:F29" si="9">SUM(C30:C32)</f>
        <v>0</v>
      </c>
      <c r="D29" s="38">
        <f t="shared" si="9"/>
        <v>0</v>
      </c>
      <c r="E29" s="38">
        <f t="shared" si="9"/>
        <v>0</v>
      </c>
      <c r="F29" s="38">
        <f t="shared" si="9"/>
        <v>0</v>
      </c>
      <c r="G29" s="39">
        <f>B29+C29-E29-F29</f>
        <v>0</v>
      </c>
    </row>
    <row r="30" spans="1:7" x14ac:dyDescent="0.25">
      <c r="A30" s="28" t="s">
        <v>76</v>
      </c>
      <c r="B30" s="130"/>
      <c r="C30" s="130"/>
      <c r="D30" s="130"/>
      <c r="E30" s="130"/>
      <c r="F30" s="130"/>
      <c r="G30" s="41">
        <f t="shared" ref="G30:G37" si="10">B30+C30-E30-F30</f>
        <v>0</v>
      </c>
    </row>
    <row r="31" spans="1:7" x14ac:dyDescent="0.25">
      <c r="A31" s="28" t="s">
        <v>77</v>
      </c>
      <c r="B31" s="130"/>
      <c r="C31" s="130"/>
      <c r="D31" s="130"/>
      <c r="E31" s="130"/>
      <c r="F31" s="130"/>
      <c r="G31" s="41">
        <f t="shared" si="10"/>
        <v>0</v>
      </c>
    </row>
    <row r="32" spans="1:7" x14ac:dyDescent="0.25">
      <c r="A32" s="28" t="s">
        <v>78</v>
      </c>
      <c r="B32" s="130"/>
      <c r="C32" s="130"/>
      <c r="D32" s="130"/>
      <c r="E32" s="130"/>
      <c r="F32" s="130"/>
      <c r="G32" s="41">
        <f t="shared" si="10"/>
        <v>0</v>
      </c>
    </row>
    <row r="33" spans="1:7" x14ac:dyDescent="0.25">
      <c r="A33" s="26" t="s">
        <v>79</v>
      </c>
      <c r="B33" s="38">
        <f>SUM(B34:B36)</f>
        <v>0</v>
      </c>
      <c r="C33" s="38">
        <f t="shared" ref="C33:F33" si="11">SUM(C34:C36)</f>
        <v>0</v>
      </c>
      <c r="D33" s="38">
        <f t="shared" si="11"/>
        <v>0</v>
      </c>
      <c r="E33" s="38">
        <f t="shared" si="11"/>
        <v>0</v>
      </c>
      <c r="F33" s="38">
        <f t="shared" si="11"/>
        <v>0</v>
      </c>
      <c r="G33" s="39">
        <f t="shared" si="10"/>
        <v>0</v>
      </c>
    </row>
    <row r="34" spans="1:7" x14ac:dyDescent="0.25">
      <c r="A34" s="28" t="s">
        <v>80</v>
      </c>
      <c r="B34" s="130"/>
      <c r="C34" s="130"/>
      <c r="D34" s="130"/>
      <c r="E34" s="130"/>
      <c r="F34" s="130"/>
      <c r="G34" s="41">
        <f t="shared" si="10"/>
        <v>0</v>
      </c>
    </row>
    <row r="35" spans="1:7" x14ac:dyDescent="0.25">
      <c r="A35" s="28" t="s">
        <v>81</v>
      </c>
      <c r="B35" s="130"/>
      <c r="C35" s="130"/>
      <c r="D35" s="130"/>
      <c r="E35" s="130"/>
      <c r="F35" s="130"/>
      <c r="G35" s="41">
        <f t="shared" si="10"/>
        <v>0</v>
      </c>
    </row>
    <row r="36" spans="1:7" x14ac:dyDescent="0.25">
      <c r="A36" s="28" t="s">
        <v>82</v>
      </c>
      <c r="B36" s="130"/>
      <c r="C36" s="130"/>
      <c r="D36" s="130"/>
      <c r="E36" s="130"/>
      <c r="F36" s="130"/>
      <c r="G36" s="41">
        <f t="shared" si="10"/>
        <v>0</v>
      </c>
    </row>
    <row r="37" spans="1:7" x14ac:dyDescent="0.25">
      <c r="A37" s="22" t="s">
        <v>101</v>
      </c>
      <c r="B37" s="42">
        <f>B29+B33</f>
        <v>0</v>
      </c>
      <c r="C37" s="42">
        <f t="shared" ref="C37:F37" si="12">C29+C33</f>
        <v>0</v>
      </c>
      <c r="D37" s="42">
        <f t="shared" si="12"/>
        <v>0</v>
      </c>
      <c r="E37" s="42">
        <f t="shared" si="12"/>
        <v>0</v>
      </c>
      <c r="F37" s="42">
        <f t="shared" si="12"/>
        <v>0</v>
      </c>
      <c r="G37" s="43">
        <f t="shared" si="10"/>
        <v>0</v>
      </c>
    </row>
    <row r="39" spans="1:7" x14ac:dyDescent="0.25">
      <c r="A39" s="160" t="s">
        <v>102</v>
      </c>
      <c r="B39" s="160"/>
      <c r="C39" s="160"/>
      <c r="D39" s="160"/>
      <c r="E39" s="160"/>
      <c r="F39" s="156"/>
      <c r="G39"/>
    </row>
    <row r="40" spans="1:7" x14ac:dyDescent="0.25">
      <c r="A40" s="159" t="s">
        <v>103</v>
      </c>
      <c r="B40" s="157" t="s">
        <v>95</v>
      </c>
      <c r="C40" s="157"/>
      <c r="D40" s="157" t="s">
        <v>455</v>
      </c>
      <c r="E40" s="157" t="s">
        <v>456</v>
      </c>
      <c r="F40" s="158" t="s">
        <v>457</v>
      </c>
      <c r="G40"/>
    </row>
    <row r="41" spans="1:7" ht="30" x14ac:dyDescent="0.25">
      <c r="A41" s="159"/>
      <c r="B41" s="45" t="s">
        <v>96</v>
      </c>
      <c r="C41" s="45" t="s">
        <v>97</v>
      </c>
      <c r="D41" s="157"/>
      <c r="E41" s="157"/>
      <c r="F41" s="158"/>
      <c r="G41"/>
    </row>
    <row r="42" spans="1:7" x14ac:dyDescent="0.25">
      <c r="A42" s="26" t="s">
        <v>75</v>
      </c>
      <c r="B42" s="38">
        <f>SUM(B43:B45)</f>
        <v>0</v>
      </c>
      <c r="C42" s="38">
        <f t="shared" ref="C42" si="13">SUM(C43:C45)</f>
        <v>0</v>
      </c>
      <c r="D42" s="38">
        <f t="shared" ref="D42" si="14">SUM(D43:D45)</f>
        <v>0</v>
      </c>
      <c r="E42" s="38">
        <f t="shared" ref="E42" si="15">SUM(E43:E45)</f>
        <v>0</v>
      </c>
      <c r="F42" s="39">
        <f t="shared" ref="F42:F50" si="16">B42+C42-D42-E42</f>
        <v>0</v>
      </c>
      <c r="G42"/>
    </row>
    <row r="43" spans="1:7" x14ac:dyDescent="0.25">
      <c r="A43" s="28" t="s">
        <v>76</v>
      </c>
      <c r="B43" s="130"/>
      <c r="C43" s="130"/>
      <c r="D43" s="130"/>
      <c r="E43" s="130"/>
      <c r="F43" s="41">
        <f t="shared" si="16"/>
        <v>0</v>
      </c>
      <c r="G43"/>
    </row>
    <row r="44" spans="1:7" x14ac:dyDescent="0.25">
      <c r="A44" s="28" t="s">
        <v>77</v>
      </c>
      <c r="B44" s="130"/>
      <c r="C44" s="130"/>
      <c r="D44" s="130"/>
      <c r="E44" s="130"/>
      <c r="F44" s="41">
        <f t="shared" si="16"/>
        <v>0</v>
      </c>
      <c r="G44"/>
    </row>
    <row r="45" spans="1:7" x14ac:dyDescent="0.25">
      <c r="A45" s="28" t="s">
        <v>78</v>
      </c>
      <c r="B45" s="130"/>
      <c r="C45" s="130"/>
      <c r="D45" s="130"/>
      <c r="E45" s="130"/>
      <c r="F45" s="41">
        <f t="shared" si="16"/>
        <v>0</v>
      </c>
      <c r="G45"/>
    </row>
    <row r="46" spans="1:7" x14ac:dyDescent="0.25">
      <c r="A46" s="26" t="s">
        <v>79</v>
      </c>
      <c r="B46" s="38">
        <f>SUM(B47:B49)</f>
        <v>0</v>
      </c>
      <c r="C46" s="38">
        <f t="shared" ref="C46" si="17">SUM(C47:C49)</f>
        <v>0</v>
      </c>
      <c r="D46" s="38">
        <f t="shared" ref="D46" si="18">SUM(D47:D49)</f>
        <v>0</v>
      </c>
      <c r="E46" s="38">
        <f t="shared" ref="E46" si="19">SUM(E47:E49)</f>
        <v>0</v>
      </c>
      <c r="F46" s="39">
        <f t="shared" si="16"/>
        <v>0</v>
      </c>
      <c r="G46"/>
    </row>
    <row r="47" spans="1:7" x14ac:dyDescent="0.25">
      <c r="A47" s="28" t="s">
        <v>80</v>
      </c>
      <c r="B47" s="130"/>
      <c r="C47" s="130"/>
      <c r="D47" s="130"/>
      <c r="E47" s="130"/>
      <c r="F47" s="41">
        <f t="shared" si="16"/>
        <v>0</v>
      </c>
      <c r="G47"/>
    </row>
    <row r="48" spans="1:7" x14ac:dyDescent="0.25">
      <c r="A48" s="28" t="s">
        <v>81</v>
      </c>
      <c r="B48" s="130"/>
      <c r="C48" s="130"/>
      <c r="D48" s="130"/>
      <c r="E48" s="130"/>
      <c r="F48" s="41">
        <f t="shared" si="16"/>
        <v>0</v>
      </c>
      <c r="G48"/>
    </row>
    <row r="49" spans="1:7" x14ac:dyDescent="0.25">
      <c r="A49" s="28" t="s">
        <v>82</v>
      </c>
      <c r="B49" s="130"/>
      <c r="C49" s="130"/>
      <c r="D49" s="130"/>
      <c r="E49" s="130"/>
      <c r="F49" s="41">
        <f t="shared" si="16"/>
        <v>0</v>
      </c>
      <c r="G49"/>
    </row>
    <row r="50" spans="1:7" x14ac:dyDescent="0.25">
      <c r="A50" s="22" t="s">
        <v>101</v>
      </c>
      <c r="B50" s="42">
        <f>B42+B46</f>
        <v>0</v>
      </c>
      <c r="C50" s="42">
        <f t="shared" ref="C50:E50" si="20">C42+C46</f>
        <v>0</v>
      </c>
      <c r="D50" s="42">
        <f t="shared" si="20"/>
        <v>0</v>
      </c>
      <c r="E50" s="42">
        <f t="shared" si="20"/>
        <v>0</v>
      </c>
      <c r="F50" s="43">
        <f t="shared" si="16"/>
        <v>0</v>
      </c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 s="44" t="s">
        <v>408</v>
      </c>
      <c r="B52" s="44" t="s">
        <v>2</v>
      </c>
      <c r="C52" s="44" t="s">
        <v>3</v>
      </c>
      <c r="D52" s="44" t="s">
        <v>4</v>
      </c>
      <c r="E52" s="46" t="s">
        <v>5</v>
      </c>
      <c r="F52" s="106"/>
      <c r="G52" s="106"/>
    </row>
    <row r="53" spans="1:7" s="2" customFormat="1" x14ac:dyDescent="0.25">
      <c r="A53" s="26" t="s">
        <v>320</v>
      </c>
      <c r="B53" s="4">
        <f>B54+B59</f>
        <v>0</v>
      </c>
      <c r="C53" s="4">
        <f t="shared" ref="C53:D53" si="21">C54+C59</f>
        <v>0</v>
      </c>
      <c r="D53" s="4">
        <f t="shared" si="21"/>
        <v>0</v>
      </c>
      <c r="E53" s="5">
        <f>D53-C53</f>
        <v>0</v>
      </c>
      <c r="F53" s="119"/>
      <c r="G53" s="119"/>
    </row>
    <row r="54" spans="1:7" s="2" customFormat="1" x14ac:dyDescent="0.25">
      <c r="A54" s="74" t="s">
        <v>321</v>
      </c>
      <c r="B54" s="4">
        <f>B55</f>
        <v>0</v>
      </c>
      <c r="C54" s="4">
        <f t="shared" ref="C54:D54" si="22">C55</f>
        <v>0</v>
      </c>
      <c r="D54" s="4">
        <f t="shared" si="22"/>
        <v>0</v>
      </c>
      <c r="E54" s="5">
        <f t="shared" ref="E54:E66" si="23">D54-C54</f>
        <v>0</v>
      </c>
      <c r="F54" s="119"/>
      <c r="G54" s="119"/>
    </row>
    <row r="55" spans="1:7" s="2" customFormat="1" x14ac:dyDescent="0.25">
      <c r="A55" s="75" t="s">
        <v>322</v>
      </c>
      <c r="B55" s="4">
        <f>SUM(B56:B58)</f>
        <v>0</v>
      </c>
      <c r="C55" s="4">
        <f t="shared" ref="C55:D55" si="24">SUM(C56:C58)</f>
        <v>0</v>
      </c>
      <c r="D55" s="4">
        <f t="shared" si="24"/>
        <v>0</v>
      </c>
      <c r="E55" s="5">
        <f t="shared" si="23"/>
        <v>0</v>
      </c>
      <c r="F55" s="119"/>
      <c r="G55" s="119"/>
    </row>
    <row r="56" spans="1:7" x14ac:dyDescent="0.25">
      <c r="A56" s="76" t="s">
        <v>323</v>
      </c>
      <c r="B56" s="125"/>
      <c r="C56" s="125"/>
      <c r="D56" s="125"/>
      <c r="E56" s="8">
        <f t="shared" si="23"/>
        <v>0</v>
      </c>
      <c r="F56" s="120"/>
      <c r="G56" s="120"/>
    </row>
    <row r="57" spans="1:7" x14ac:dyDescent="0.25">
      <c r="A57" s="76" t="s">
        <v>324</v>
      </c>
      <c r="B57" s="125"/>
      <c r="C57" s="125"/>
      <c r="D57" s="125"/>
      <c r="E57" s="8">
        <f t="shared" si="23"/>
        <v>0</v>
      </c>
      <c r="F57" s="120"/>
      <c r="G57" s="120"/>
    </row>
    <row r="58" spans="1:7" x14ac:dyDescent="0.25">
      <c r="A58" s="76" t="s">
        <v>325</v>
      </c>
      <c r="B58" s="125"/>
      <c r="C58" s="125"/>
      <c r="D58" s="125"/>
      <c r="E58" s="8">
        <f t="shared" si="23"/>
        <v>0</v>
      </c>
      <c r="F58" s="120"/>
      <c r="G58" s="120"/>
    </row>
    <row r="59" spans="1:7" s="2" customFormat="1" x14ac:dyDescent="0.25">
      <c r="A59" s="74" t="s">
        <v>458</v>
      </c>
      <c r="B59" s="4">
        <f>B60</f>
        <v>0</v>
      </c>
      <c r="C59" s="4">
        <f t="shared" ref="C59:D59" si="25">C60</f>
        <v>0</v>
      </c>
      <c r="D59" s="4">
        <f t="shared" si="25"/>
        <v>0</v>
      </c>
      <c r="E59" s="5">
        <f t="shared" si="23"/>
        <v>0</v>
      </c>
      <c r="F59" s="119"/>
      <c r="G59" s="119"/>
    </row>
    <row r="60" spans="1:7" s="2" customFormat="1" x14ac:dyDescent="0.25">
      <c r="A60" s="75" t="s">
        <v>459</v>
      </c>
      <c r="B60" s="4">
        <f>B61</f>
        <v>0</v>
      </c>
      <c r="C60" s="4">
        <f t="shared" ref="C60:D60" si="26">C61</f>
        <v>0</v>
      </c>
      <c r="D60" s="4">
        <f t="shared" si="26"/>
        <v>0</v>
      </c>
      <c r="E60" s="5">
        <f t="shared" si="23"/>
        <v>0</v>
      </c>
      <c r="F60" s="119"/>
      <c r="G60" s="119"/>
    </row>
    <row r="61" spans="1:7" x14ac:dyDescent="0.25">
      <c r="A61" s="76" t="s">
        <v>460</v>
      </c>
      <c r="B61" s="125"/>
      <c r="C61" s="125"/>
      <c r="D61" s="125"/>
      <c r="E61" s="8">
        <f t="shared" si="23"/>
        <v>0</v>
      </c>
      <c r="F61" s="120"/>
      <c r="G61" s="120"/>
    </row>
    <row r="62" spans="1:7" s="2" customFormat="1" x14ac:dyDescent="0.25">
      <c r="A62" s="26" t="s">
        <v>461</v>
      </c>
      <c r="B62" s="4">
        <f>B63</f>
        <v>0</v>
      </c>
      <c r="C62" s="4">
        <f t="shared" ref="C62:D64" si="27">C63</f>
        <v>0</v>
      </c>
      <c r="D62" s="4">
        <f t="shared" si="27"/>
        <v>0</v>
      </c>
      <c r="E62" s="5">
        <f t="shared" si="23"/>
        <v>0</v>
      </c>
      <c r="F62" s="119"/>
      <c r="G62" s="119"/>
    </row>
    <row r="63" spans="1:7" s="2" customFormat="1" x14ac:dyDescent="0.25">
      <c r="A63" s="74" t="s">
        <v>49</v>
      </c>
      <c r="B63" s="4">
        <f>B64</f>
        <v>0</v>
      </c>
      <c r="C63" s="4">
        <f t="shared" si="27"/>
        <v>0</v>
      </c>
      <c r="D63" s="4">
        <f t="shared" si="27"/>
        <v>0</v>
      </c>
      <c r="E63" s="5">
        <f t="shared" si="23"/>
        <v>0</v>
      </c>
      <c r="F63" s="119"/>
      <c r="G63" s="119"/>
    </row>
    <row r="64" spans="1:7" s="2" customFormat="1" x14ac:dyDescent="0.25">
      <c r="A64" s="75" t="s">
        <v>462</v>
      </c>
      <c r="B64" s="4">
        <f>B65</f>
        <v>0</v>
      </c>
      <c r="C64" s="4">
        <f t="shared" si="27"/>
        <v>0</v>
      </c>
      <c r="D64" s="4">
        <f t="shared" si="27"/>
        <v>0</v>
      </c>
      <c r="E64" s="5">
        <f t="shared" si="23"/>
        <v>0</v>
      </c>
      <c r="F64" s="119"/>
      <c r="G64" s="119"/>
    </row>
    <row r="65" spans="1:7" x14ac:dyDescent="0.25">
      <c r="A65" s="76" t="s">
        <v>463</v>
      </c>
      <c r="B65" s="125"/>
      <c r="C65" s="125"/>
      <c r="D65" s="125"/>
      <c r="E65" s="8">
        <f t="shared" si="23"/>
        <v>0</v>
      </c>
      <c r="F65" s="106"/>
      <c r="G65" s="106"/>
    </row>
    <row r="66" spans="1:7" x14ac:dyDescent="0.25">
      <c r="A66" s="44" t="s">
        <v>101</v>
      </c>
      <c r="B66" s="73">
        <f>B53+B62</f>
        <v>0</v>
      </c>
      <c r="C66" s="73">
        <f t="shared" ref="C66:D66" si="28">C53+C62</f>
        <v>0</v>
      </c>
      <c r="D66" s="73">
        <f t="shared" si="28"/>
        <v>0</v>
      </c>
      <c r="E66" s="79">
        <f t="shared" si="23"/>
        <v>0</v>
      </c>
      <c r="F66" s="106"/>
      <c r="G66" s="106"/>
    </row>
    <row r="67" spans="1:7" x14ac:dyDescent="0.25">
      <c r="A67" s="106"/>
      <c r="B67" s="106"/>
      <c r="C67" s="106"/>
      <c r="D67" s="106"/>
      <c r="E67" s="106"/>
      <c r="F67" s="106"/>
      <c r="G67" s="106"/>
    </row>
    <row r="68" spans="1:7" ht="30" x14ac:dyDescent="0.25">
      <c r="A68" s="44" t="s">
        <v>409</v>
      </c>
      <c r="B68" s="44" t="s">
        <v>71</v>
      </c>
      <c r="C68" s="44" t="s">
        <v>72</v>
      </c>
      <c r="D68" s="44" t="s">
        <v>73</v>
      </c>
      <c r="E68" s="44" t="s">
        <v>404</v>
      </c>
      <c r="F68" s="44" t="s">
        <v>74</v>
      </c>
      <c r="G68" s="46" t="s">
        <v>403</v>
      </c>
    </row>
    <row r="69" spans="1:7" x14ac:dyDescent="0.25">
      <c r="A69" s="26" t="s">
        <v>410</v>
      </c>
      <c r="B69" s="4">
        <f>B70</f>
        <v>0</v>
      </c>
      <c r="C69" s="4">
        <f t="shared" ref="C69:F69" si="29">C70</f>
        <v>0</v>
      </c>
      <c r="D69" s="4">
        <f t="shared" si="29"/>
        <v>0</v>
      </c>
      <c r="E69" s="4">
        <f t="shared" si="29"/>
        <v>0</v>
      </c>
      <c r="F69" s="4">
        <f t="shared" si="29"/>
        <v>0</v>
      </c>
      <c r="G69" s="5">
        <f>C69-D69</f>
        <v>0</v>
      </c>
    </row>
    <row r="70" spans="1:7" x14ac:dyDescent="0.25">
      <c r="A70" s="109" t="s">
        <v>76</v>
      </c>
      <c r="B70" s="125"/>
      <c r="C70" s="125"/>
      <c r="D70" s="125"/>
      <c r="E70" s="131"/>
      <c r="F70" s="131"/>
      <c r="G70" s="8">
        <f t="shared" ref="G70:G74" si="30">C70-D70</f>
        <v>0</v>
      </c>
    </row>
    <row r="71" spans="1:7" x14ac:dyDescent="0.25">
      <c r="A71" s="26" t="s">
        <v>464</v>
      </c>
      <c r="B71" s="4">
        <f>SUM(B72:B73)</f>
        <v>0</v>
      </c>
      <c r="C71" s="4">
        <f t="shared" ref="C71:F71" si="31">SUM(C72:C73)</f>
        <v>0</v>
      </c>
      <c r="D71" s="4">
        <f t="shared" si="31"/>
        <v>0</v>
      </c>
      <c r="E71" s="4">
        <f t="shared" si="31"/>
        <v>0</v>
      </c>
      <c r="F71" s="4">
        <f t="shared" si="31"/>
        <v>0</v>
      </c>
      <c r="G71" s="5">
        <f t="shared" si="30"/>
        <v>0</v>
      </c>
    </row>
    <row r="72" spans="1:7" x14ac:dyDescent="0.25">
      <c r="A72" s="109" t="s">
        <v>80</v>
      </c>
      <c r="B72" s="125"/>
      <c r="C72" s="125"/>
      <c r="D72" s="125"/>
      <c r="E72" s="131"/>
      <c r="F72" s="131"/>
      <c r="G72" s="8">
        <f t="shared" si="30"/>
        <v>0</v>
      </c>
    </row>
    <row r="73" spans="1:7" x14ac:dyDescent="0.25">
      <c r="A73" s="109" t="s">
        <v>82</v>
      </c>
      <c r="B73" s="125"/>
      <c r="C73" s="125"/>
      <c r="D73" s="125"/>
      <c r="E73" s="131"/>
      <c r="F73" s="131"/>
      <c r="G73" s="8">
        <f t="shared" si="30"/>
        <v>0</v>
      </c>
    </row>
    <row r="74" spans="1:7" x14ac:dyDescent="0.25">
      <c r="A74" s="44" t="s">
        <v>101</v>
      </c>
      <c r="B74" s="73">
        <f>B69+B71</f>
        <v>0</v>
      </c>
      <c r="C74" s="73">
        <f t="shared" ref="C74:F74" si="32">C69+C71</f>
        <v>0</v>
      </c>
      <c r="D74" s="73">
        <f t="shared" si="32"/>
        <v>0</v>
      </c>
      <c r="E74" s="73">
        <f t="shared" si="32"/>
        <v>0</v>
      </c>
      <c r="F74" s="73">
        <f t="shared" si="32"/>
        <v>0</v>
      </c>
      <c r="G74" s="79">
        <f t="shared" si="30"/>
        <v>0</v>
      </c>
    </row>
    <row r="76" spans="1:7" x14ac:dyDescent="0.25">
      <c r="A76" s="153" t="s">
        <v>465</v>
      </c>
      <c r="B76" s="154"/>
      <c r="C76" s="154"/>
      <c r="D76" s="154"/>
      <c r="E76" s="154"/>
      <c r="F76" s="154"/>
      <c r="G76" s="143"/>
    </row>
    <row r="77" spans="1:7" x14ac:dyDescent="0.25">
      <c r="A77" s="147" t="s">
        <v>326</v>
      </c>
      <c r="B77" s="149" t="s">
        <v>327</v>
      </c>
      <c r="C77" s="151" t="s">
        <v>331</v>
      </c>
      <c r="D77" s="151"/>
      <c r="E77" s="151"/>
      <c r="F77" s="151"/>
      <c r="G77" s="152"/>
    </row>
    <row r="78" spans="1:7" ht="30.75" customHeight="1" x14ac:dyDescent="0.25">
      <c r="A78" s="148"/>
      <c r="B78" s="150"/>
      <c r="C78" s="44" t="s">
        <v>332</v>
      </c>
      <c r="D78" s="44" t="s">
        <v>333</v>
      </c>
      <c r="E78" s="44" t="s">
        <v>334</v>
      </c>
      <c r="F78" s="44" t="s">
        <v>335</v>
      </c>
      <c r="G78" s="46" t="s">
        <v>336</v>
      </c>
    </row>
    <row r="79" spans="1:7" x14ac:dyDescent="0.25">
      <c r="A79" s="78" t="s">
        <v>328</v>
      </c>
      <c r="B79" s="132"/>
      <c r="C79" s="133"/>
      <c r="D79" s="134"/>
      <c r="E79" s="134"/>
      <c r="F79" s="135"/>
      <c r="G79" s="135"/>
    </row>
    <row r="80" spans="1:7" x14ac:dyDescent="0.25">
      <c r="A80" s="78" t="s">
        <v>330</v>
      </c>
      <c r="B80" s="132"/>
      <c r="C80" s="136"/>
      <c r="D80" s="134"/>
      <c r="E80" s="134"/>
      <c r="F80" s="135"/>
      <c r="G80" s="135"/>
    </row>
    <row r="81" spans="1:7" x14ac:dyDescent="0.25">
      <c r="A81" s="77" t="s">
        <v>329</v>
      </c>
      <c r="B81" s="132"/>
      <c r="C81" s="133"/>
      <c r="D81" s="134"/>
      <c r="E81" s="134"/>
      <c r="F81" s="135"/>
      <c r="G81" s="135"/>
    </row>
    <row r="82" spans="1:7" x14ac:dyDescent="0.25">
      <c r="A82" s="44" t="s">
        <v>101</v>
      </c>
      <c r="B82" s="73">
        <f t="shared" ref="B82:G82" si="33">SUM(B79:B81)</f>
        <v>0</v>
      </c>
      <c r="C82" s="79">
        <f t="shared" si="33"/>
        <v>0</v>
      </c>
      <c r="D82" s="79">
        <f t="shared" si="33"/>
        <v>0</v>
      </c>
      <c r="E82" s="79">
        <f t="shared" si="33"/>
        <v>0</v>
      </c>
      <c r="F82" s="79">
        <f t="shared" si="33"/>
        <v>0</v>
      </c>
      <c r="G82" s="79">
        <f t="shared" si="33"/>
        <v>0</v>
      </c>
    </row>
    <row r="83" spans="1:7" x14ac:dyDescent="0.25">
      <c r="A83"/>
      <c r="B83"/>
      <c r="C83"/>
      <c r="D83"/>
      <c r="E83"/>
      <c r="F83"/>
      <c r="G83"/>
    </row>
    <row r="84" spans="1:7" x14ac:dyDescent="0.25">
      <c r="A84" s="143" t="s">
        <v>337</v>
      </c>
      <c r="B84" s="144"/>
      <c r="C84" s="144"/>
      <c r="D84" s="144"/>
      <c r="E84" s="144"/>
      <c r="F84" s="144"/>
      <c r="G84" s="46" t="s">
        <v>338</v>
      </c>
    </row>
    <row r="85" spans="1:7" x14ac:dyDescent="0.25">
      <c r="A85" s="145" t="s">
        <v>339</v>
      </c>
      <c r="B85" s="146"/>
      <c r="C85" s="146"/>
      <c r="D85" s="146"/>
      <c r="E85" s="146"/>
      <c r="F85" s="146"/>
      <c r="G85" s="81" t="e">
        <f>'BO-REC'!B65/'BO-DESP'!B24</f>
        <v>#DIV/0!</v>
      </c>
    </row>
    <row r="86" spans="1:7" x14ac:dyDescent="0.25">
      <c r="A86" s="145" t="s">
        <v>341</v>
      </c>
      <c r="B86" s="146"/>
      <c r="C86" s="146"/>
      <c r="D86" s="146"/>
      <c r="E86" s="146"/>
      <c r="F86" s="146"/>
      <c r="G86" s="81" t="e">
        <f>'BO-REC'!D65/'BO-REC'!C65</f>
        <v>#DIV/0!</v>
      </c>
    </row>
    <row r="87" spans="1:7" x14ac:dyDescent="0.25">
      <c r="A87" s="145" t="s">
        <v>340</v>
      </c>
      <c r="B87" s="146"/>
      <c r="C87" s="146"/>
      <c r="D87" s="146"/>
      <c r="E87" s="146"/>
      <c r="F87" s="146"/>
      <c r="G87" s="81" t="e">
        <f>'BO-REC'!D65/'BO-REC'!B65</f>
        <v>#DIV/0!</v>
      </c>
    </row>
    <row r="88" spans="1:7" ht="30" customHeight="1" x14ac:dyDescent="0.25">
      <c r="A88" s="141" t="s">
        <v>342</v>
      </c>
      <c r="B88" s="142"/>
      <c r="C88" s="142"/>
      <c r="D88" s="142"/>
      <c r="E88" s="142"/>
      <c r="F88" s="142"/>
      <c r="G88" s="81">
        <f>IF(OR(D82=0,'BO-REC'!E73&lt;=0),0,'BO-DESP'!D82/'BO-REC'!E73)</f>
        <v>0</v>
      </c>
    </row>
    <row r="89" spans="1:7" ht="30.75" customHeight="1" x14ac:dyDescent="0.25">
      <c r="A89" s="141" t="s">
        <v>343</v>
      </c>
      <c r="B89" s="142"/>
      <c r="C89" s="142"/>
      <c r="D89" s="142"/>
      <c r="E89" s="142"/>
      <c r="F89" s="142"/>
      <c r="G89" s="99">
        <f>IF(OR(C82=0,G51=0),0,G51/C82)</f>
        <v>0</v>
      </c>
    </row>
    <row r="90" spans="1:7" x14ac:dyDescent="0.25">
      <c r="A90" s="141" t="s">
        <v>346</v>
      </c>
      <c r="B90" s="142"/>
      <c r="C90" s="142"/>
      <c r="D90" s="142"/>
      <c r="E90" s="142"/>
      <c r="F90" s="142"/>
      <c r="G90" s="81" t="e">
        <f>D22/C22</f>
        <v>#DIV/0!</v>
      </c>
    </row>
    <row r="91" spans="1:7" x14ac:dyDescent="0.25">
      <c r="A91" s="141" t="s">
        <v>344</v>
      </c>
      <c r="B91" s="142"/>
      <c r="C91" s="142"/>
      <c r="D91" s="142"/>
      <c r="E91" s="142"/>
      <c r="F91" s="142"/>
      <c r="G91" s="81" t="e">
        <f>'BO-REC'!D65/'BO-DESP'!D22</f>
        <v>#DIV/0!</v>
      </c>
    </row>
    <row r="92" spans="1:7" ht="30.75" customHeight="1" x14ac:dyDescent="0.25">
      <c r="A92" s="141" t="s">
        <v>345</v>
      </c>
      <c r="B92" s="142"/>
      <c r="C92" s="142"/>
      <c r="D92" s="142"/>
      <c r="E92" s="142"/>
      <c r="F92" s="142"/>
      <c r="G92" s="81" t="e">
        <f>'BO-REC'!D4/'BO-DESP'!D4</f>
        <v>#DIV/0!</v>
      </c>
    </row>
    <row r="93" spans="1:7" x14ac:dyDescent="0.25">
      <c r="A93" s="139" t="s">
        <v>347</v>
      </c>
      <c r="B93" s="140"/>
      <c r="C93" s="140"/>
      <c r="D93" s="140"/>
      <c r="E93" s="140"/>
      <c r="F93" s="140"/>
      <c r="G93" s="82" t="e">
        <f>'BO-REC'!D65/'BO-DESP'!F22</f>
        <v>#DIV/0!</v>
      </c>
    </row>
  </sheetData>
  <sheetProtection sheet="1" objects="1" scenarios="1"/>
  <mergeCells count="29">
    <mergeCell ref="A76:G76"/>
    <mergeCell ref="A1:G1"/>
    <mergeCell ref="E2:G2"/>
    <mergeCell ref="A26:G26"/>
    <mergeCell ref="B27:C27"/>
    <mergeCell ref="D27:D28"/>
    <mergeCell ref="E27:E28"/>
    <mergeCell ref="F27:F28"/>
    <mergeCell ref="G27:G28"/>
    <mergeCell ref="A27:A28"/>
    <mergeCell ref="A40:A41"/>
    <mergeCell ref="B40:C40"/>
    <mergeCell ref="D40:D41"/>
    <mergeCell ref="E40:E41"/>
    <mergeCell ref="F40:F41"/>
    <mergeCell ref="A39:F39"/>
    <mergeCell ref="A84:F84"/>
    <mergeCell ref="A85:F85"/>
    <mergeCell ref="A86:F86"/>
    <mergeCell ref="A87:F87"/>
    <mergeCell ref="A77:A78"/>
    <mergeCell ref="B77:B78"/>
    <mergeCell ref="C77:G77"/>
    <mergeCell ref="A93:F93"/>
    <mergeCell ref="A88:F88"/>
    <mergeCell ref="A89:F89"/>
    <mergeCell ref="A90:F90"/>
    <mergeCell ref="A91:F91"/>
    <mergeCell ref="A92:F92"/>
  </mergeCells>
  <printOptions horizontalCentered="1"/>
  <pageMargins left="0.39370078740157483" right="0.39370078740157483" top="1.1811023622047245" bottom="1.5748031496062993" header="0.39370078740157483" footer="0.39370078740157483"/>
  <pageSetup paperSize="9" scale="32" fitToHeight="0" orientation="portrait" r:id="rId1"/>
  <headerFooter>
    <oddHeader>&amp;C&amp;14MUNICÍPIO DE INDEPENDÊNCIA/RS
CNPJ nº 87.612.826/0001-90&amp;RCONSOLIDADO</oddHeader>
    <oddFooter>&amp;LEVERTON DA ROSA
Contador
CRC nº RS-076595/O-3
CPF nº 962.670.200-10&amp;CGILBERTO MARASCA
Prefeito Municipal
CPF nº 262.370.670-00&amp;RJAIR AZILDO MASSUDA GRENZEL
Secretário da Fazenda
CPF nº 499.073.440-87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topLeftCell="A35" workbookViewId="0">
      <selection activeCell="E47" sqref="E47"/>
    </sheetView>
  </sheetViews>
  <sheetFormatPr defaultRowHeight="15" x14ac:dyDescent="0.25"/>
  <cols>
    <col min="1" max="1" width="39.85546875" bestFit="1" customWidth="1"/>
    <col min="2" max="2" width="13.5703125" bestFit="1" customWidth="1"/>
    <col min="3" max="3" width="22.7109375" bestFit="1" customWidth="1"/>
    <col min="4" max="4" width="49" bestFit="1" customWidth="1"/>
    <col min="5" max="5" width="15.85546875" bestFit="1" customWidth="1"/>
    <col min="6" max="6" width="16.85546875" bestFit="1" customWidth="1"/>
    <col min="7" max="7" width="10.140625" bestFit="1" customWidth="1"/>
  </cols>
  <sheetData>
    <row r="1" spans="1:10" x14ac:dyDescent="0.25">
      <c r="A1" s="137" t="s">
        <v>104</v>
      </c>
      <c r="B1" s="137"/>
      <c r="C1" s="137"/>
      <c r="D1" s="137"/>
      <c r="E1" s="137"/>
      <c r="F1" s="137"/>
      <c r="G1" s="103"/>
      <c r="H1" s="103"/>
      <c r="I1" s="103"/>
      <c r="J1" s="103"/>
    </row>
    <row r="2" spans="1:10" x14ac:dyDescent="0.25">
      <c r="A2" s="91" t="str">
        <f>'BO-REC'!A2</f>
        <v>EXERCÍCIO DE 2015</v>
      </c>
      <c r="B2" s="91"/>
      <c r="C2" s="91"/>
      <c r="D2" s="155" t="str">
        <f>'BO-REC'!B2</f>
        <v>DE 01/01/2015 A 31/12/2015</v>
      </c>
      <c r="E2" s="155"/>
      <c r="F2" s="155"/>
      <c r="G2" s="102"/>
      <c r="H2" s="102"/>
      <c r="I2" s="102"/>
      <c r="J2" s="102"/>
    </row>
    <row r="3" spans="1:10" x14ac:dyDescent="0.25">
      <c r="A3" s="156" t="s">
        <v>105</v>
      </c>
      <c r="B3" s="157"/>
      <c r="C3" s="157"/>
      <c r="D3" s="157" t="s">
        <v>107</v>
      </c>
      <c r="E3" s="157"/>
      <c r="F3" s="158"/>
    </row>
    <row r="4" spans="1:10" x14ac:dyDescent="0.25">
      <c r="A4" s="48" t="s">
        <v>106</v>
      </c>
      <c r="B4" s="24" t="s">
        <v>116</v>
      </c>
      <c r="C4" s="24" t="s">
        <v>117</v>
      </c>
      <c r="D4" s="24" t="s">
        <v>106</v>
      </c>
      <c r="E4" s="24" t="s">
        <v>116</v>
      </c>
      <c r="F4" s="25" t="s">
        <v>117</v>
      </c>
    </row>
    <row r="5" spans="1:10" x14ac:dyDescent="0.25">
      <c r="A5" s="47" t="s">
        <v>108</v>
      </c>
      <c r="B5" s="38">
        <f>B6+B7+B13</f>
        <v>0</v>
      </c>
      <c r="C5" s="38">
        <f>C6+C7+C13</f>
        <v>0</v>
      </c>
      <c r="D5" s="20" t="s">
        <v>112</v>
      </c>
      <c r="E5" s="38">
        <f>E6+E7</f>
        <v>0</v>
      </c>
      <c r="F5" s="39">
        <f>F6+F7</f>
        <v>0</v>
      </c>
    </row>
    <row r="6" spans="1:10" x14ac:dyDescent="0.25">
      <c r="A6" s="27" t="s">
        <v>109</v>
      </c>
      <c r="B6" s="130"/>
      <c r="C6" s="130"/>
      <c r="D6" s="50" t="s">
        <v>109</v>
      </c>
      <c r="E6" s="130"/>
      <c r="F6" s="182"/>
    </row>
    <row r="7" spans="1:10" x14ac:dyDescent="0.25">
      <c r="A7" s="27" t="s">
        <v>110</v>
      </c>
      <c r="B7" s="40">
        <f>SUM(B8:B12)</f>
        <v>0</v>
      </c>
      <c r="C7" s="40">
        <f>SUM(C8:C12)</f>
        <v>0</v>
      </c>
      <c r="D7" s="50" t="s">
        <v>110</v>
      </c>
      <c r="E7" s="40">
        <f>SUM(E8:E12)</f>
        <v>0</v>
      </c>
      <c r="F7" s="41">
        <f>SUM(F8:F12)</f>
        <v>0</v>
      </c>
    </row>
    <row r="8" spans="1:10" x14ac:dyDescent="0.25">
      <c r="A8" s="28" t="s">
        <v>113</v>
      </c>
      <c r="B8" s="130"/>
      <c r="C8" s="130"/>
      <c r="D8" s="28" t="s">
        <v>113</v>
      </c>
      <c r="E8" s="130"/>
      <c r="F8" s="182"/>
    </row>
    <row r="9" spans="1:10" x14ac:dyDescent="0.25">
      <c r="A9" s="28" t="s">
        <v>413</v>
      </c>
      <c r="B9" s="130"/>
      <c r="C9" s="130"/>
      <c r="D9" s="28" t="s">
        <v>413</v>
      </c>
      <c r="E9" s="130"/>
      <c r="F9" s="182"/>
    </row>
    <row r="10" spans="1:10" x14ac:dyDescent="0.25">
      <c r="A10" s="28" t="s">
        <v>414</v>
      </c>
      <c r="B10" s="130"/>
      <c r="C10" s="130"/>
      <c r="D10" s="28" t="s">
        <v>414</v>
      </c>
      <c r="E10" s="130"/>
      <c r="F10" s="182"/>
    </row>
    <row r="11" spans="1:10" x14ac:dyDescent="0.25">
      <c r="A11" s="28" t="s">
        <v>415</v>
      </c>
      <c r="B11" s="130"/>
      <c r="C11" s="130"/>
      <c r="D11" s="28" t="s">
        <v>415</v>
      </c>
      <c r="E11" s="130"/>
      <c r="F11" s="182"/>
    </row>
    <row r="12" spans="1:10" x14ac:dyDescent="0.25">
      <c r="A12" s="28" t="s">
        <v>411</v>
      </c>
      <c r="B12" s="130"/>
      <c r="C12" s="130"/>
      <c r="D12" s="28" t="s">
        <v>412</v>
      </c>
      <c r="E12" s="130"/>
      <c r="F12" s="182"/>
    </row>
    <row r="13" spans="1:10" x14ac:dyDescent="0.25">
      <c r="A13" s="27"/>
      <c r="B13" s="130"/>
      <c r="C13" s="130"/>
      <c r="D13" s="20" t="s">
        <v>452</v>
      </c>
      <c r="E13" s="181"/>
      <c r="F13" s="183"/>
    </row>
    <row r="14" spans="1:10" x14ac:dyDescent="0.25">
      <c r="A14" s="47" t="s">
        <v>111</v>
      </c>
      <c r="B14" s="181"/>
      <c r="C14" s="181"/>
      <c r="D14" s="20" t="s">
        <v>453</v>
      </c>
      <c r="E14" s="181"/>
      <c r="F14" s="183"/>
    </row>
    <row r="15" spans="1:10" x14ac:dyDescent="0.25">
      <c r="A15" s="47" t="s">
        <v>488</v>
      </c>
      <c r="B15" s="181"/>
      <c r="C15" s="181"/>
      <c r="D15" s="20" t="s">
        <v>490</v>
      </c>
      <c r="E15" s="181"/>
      <c r="F15" s="183"/>
    </row>
    <row r="16" spans="1:10" x14ac:dyDescent="0.25">
      <c r="A16" s="47" t="s">
        <v>489</v>
      </c>
      <c r="B16" s="181"/>
      <c r="C16" s="181"/>
      <c r="D16" s="20" t="s">
        <v>491</v>
      </c>
      <c r="E16" s="181"/>
      <c r="F16" s="183"/>
      <c r="G16" s="80"/>
    </row>
    <row r="17" spans="1:6" x14ac:dyDescent="0.25">
      <c r="A17" s="49" t="s">
        <v>416</v>
      </c>
      <c r="B17" s="42">
        <f>B5+B14+B15+B16</f>
        <v>0</v>
      </c>
      <c r="C17" s="42">
        <f>C5+C14+C15+C16</f>
        <v>0</v>
      </c>
      <c r="D17" s="11" t="s">
        <v>454</v>
      </c>
      <c r="E17" s="42">
        <f>E5+E14+E15+E16+E13</f>
        <v>0</v>
      </c>
      <c r="F17" s="43">
        <f>F5+F14+F15+F16+F13</f>
        <v>0</v>
      </c>
    </row>
    <row r="18" spans="1:6" x14ac:dyDescent="0.25">
      <c r="E18" s="80"/>
    </row>
    <row r="19" spans="1:6" x14ac:dyDescent="0.25">
      <c r="A19" s="166" t="s">
        <v>466</v>
      </c>
      <c r="B19" s="166"/>
      <c r="C19" s="166"/>
      <c r="D19" s="166"/>
      <c r="E19" s="166"/>
      <c r="F19" s="166"/>
    </row>
    <row r="20" spans="1:6" x14ac:dyDescent="0.25">
      <c r="A20" s="164" t="s">
        <v>349</v>
      </c>
      <c r="B20" s="165"/>
      <c r="C20" s="84" t="s">
        <v>338</v>
      </c>
      <c r="D20" s="165" t="s">
        <v>348</v>
      </c>
      <c r="E20" s="165"/>
      <c r="F20" s="85" t="s">
        <v>338</v>
      </c>
    </row>
    <row r="21" spans="1:6" x14ac:dyDescent="0.25">
      <c r="A21" s="184"/>
      <c r="B21" s="185"/>
      <c r="C21" s="130"/>
      <c r="D21" s="185"/>
      <c r="E21" s="185"/>
      <c r="F21" s="182"/>
    </row>
    <row r="22" spans="1:6" x14ac:dyDescent="0.25">
      <c r="A22" s="186"/>
      <c r="B22" s="184"/>
      <c r="C22" s="130"/>
      <c r="D22" s="185"/>
      <c r="E22" s="185"/>
      <c r="F22" s="182"/>
    </row>
    <row r="23" spans="1:6" x14ac:dyDescent="0.25">
      <c r="A23" s="184"/>
      <c r="B23" s="185"/>
      <c r="C23" s="130"/>
      <c r="D23" s="187"/>
      <c r="E23" s="187"/>
      <c r="F23" s="182"/>
    </row>
    <row r="24" spans="1:6" x14ac:dyDescent="0.25">
      <c r="A24" s="184"/>
      <c r="B24" s="185"/>
      <c r="C24" s="130"/>
      <c r="D24" s="185"/>
      <c r="E24" s="185"/>
      <c r="F24" s="182"/>
    </row>
    <row r="25" spans="1:6" x14ac:dyDescent="0.25">
      <c r="A25" s="184"/>
      <c r="B25" s="185"/>
      <c r="C25" s="130"/>
      <c r="D25" s="185"/>
      <c r="E25" s="185"/>
      <c r="F25" s="182"/>
    </row>
    <row r="26" spans="1:6" x14ac:dyDescent="0.25">
      <c r="A26" s="184"/>
      <c r="B26" s="185"/>
      <c r="C26" s="130"/>
      <c r="D26" s="185"/>
      <c r="E26" s="185"/>
      <c r="F26" s="182"/>
    </row>
    <row r="27" spans="1:6" x14ac:dyDescent="0.25">
      <c r="A27" s="184"/>
      <c r="B27" s="185"/>
      <c r="C27" s="130"/>
      <c r="D27" s="185"/>
      <c r="E27" s="185"/>
      <c r="F27" s="182"/>
    </row>
    <row r="28" spans="1:6" x14ac:dyDescent="0.25">
      <c r="A28" s="188"/>
      <c r="B28" s="189"/>
      <c r="C28" s="130"/>
      <c r="D28" s="190"/>
      <c r="E28" s="189"/>
      <c r="F28" s="182"/>
    </row>
    <row r="29" spans="1:6" x14ac:dyDescent="0.25">
      <c r="A29" s="188"/>
      <c r="B29" s="189"/>
      <c r="C29" s="130"/>
      <c r="D29" s="190"/>
      <c r="E29" s="189"/>
      <c r="F29" s="182"/>
    </row>
    <row r="30" spans="1:6" x14ac:dyDescent="0.25">
      <c r="A30" s="191"/>
      <c r="B30" s="187"/>
      <c r="C30" s="130"/>
      <c r="D30" s="187"/>
      <c r="E30" s="187"/>
      <c r="F30" s="182"/>
    </row>
    <row r="31" spans="1:6" x14ac:dyDescent="0.25">
      <c r="A31" s="164" t="s">
        <v>101</v>
      </c>
      <c r="B31" s="165"/>
      <c r="C31" s="86">
        <f>SUM(C21:C30)</f>
        <v>0</v>
      </c>
      <c r="D31" s="165" t="s">
        <v>101</v>
      </c>
      <c r="E31" s="165"/>
      <c r="F31" s="87">
        <f>SUM(F21:F30)</f>
        <v>0</v>
      </c>
    </row>
    <row r="33" spans="1:6" x14ac:dyDescent="0.25">
      <c r="A33" s="167" t="s">
        <v>467</v>
      </c>
      <c r="B33" s="167"/>
      <c r="C33" s="167"/>
      <c r="D33" s="167"/>
      <c r="E33" s="167"/>
    </row>
    <row r="34" spans="1:6" x14ac:dyDescent="0.25">
      <c r="A34" s="164" t="s">
        <v>417</v>
      </c>
      <c r="B34" s="165"/>
      <c r="C34" s="84" t="s">
        <v>338</v>
      </c>
      <c r="D34" s="89" t="s">
        <v>418</v>
      </c>
      <c r="E34" s="110" t="s">
        <v>338</v>
      </c>
    </row>
    <row r="35" spans="1:6" x14ac:dyDescent="0.25">
      <c r="A35" s="184"/>
      <c r="B35" s="185"/>
      <c r="C35" s="192"/>
      <c r="D35" s="193"/>
      <c r="E35" s="194"/>
    </row>
    <row r="36" spans="1:6" x14ac:dyDescent="0.25">
      <c r="A36" s="164" t="s">
        <v>101</v>
      </c>
      <c r="B36" s="165"/>
      <c r="C36" s="111">
        <f>SUM(C35:C35)</f>
        <v>0</v>
      </c>
      <c r="D36" s="90">
        <f>SUM(D35:D35)</f>
        <v>0</v>
      </c>
      <c r="E36" s="112">
        <f>SUM(E35:E35)</f>
        <v>0</v>
      </c>
    </row>
    <row r="38" spans="1:6" x14ac:dyDescent="0.25">
      <c r="A38" s="167" t="s">
        <v>481</v>
      </c>
      <c r="B38" s="167"/>
      <c r="C38" s="167"/>
      <c r="D38" s="167"/>
      <c r="E38" s="167"/>
    </row>
    <row r="39" spans="1:6" x14ac:dyDescent="0.25">
      <c r="A39" s="168" t="s">
        <v>482</v>
      </c>
      <c r="B39" s="168"/>
      <c r="C39" s="168"/>
      <c r="D39" s="164"/>
      <c r="E39" s="110" t="s">
        <v>338</v>
      </c>
    </row>
    <row r="40" spans="1:6" x14ac:dyDescent="0.25">
      <c r="A40" s="195"/>
      <c r="B40" s="195"/>
      <c r="C40" s="195"/>
      <c r="D40" s="196"/>
      <c r="E40" s="197"/>
    </row>
    <row r="41" spans="1:6" x14ac:dyDescent="0.25">
      <c r="A41" s="195"/>
      <c r="B41" s="195"/>
      <c r="C41" s="195"/>
      <c r="D41" s="196"/>
      <c r="E41" s="197"/>
    </row>
    <row r="42" spans="1:6" x14ac:dyDescent="0.25">
      <c r="A42" s="198"/>
      <c r="B42" s="198"/>
      <c r="C42" s="198"/>
      <c r="D42" s="199"/>
      <c r="E42" s="200"/>
    </row>
    <row r="43" spans="1:6" x14ac:dyDescent="0.25">
      <c r="A43" s="168" t="s">
        <v>101</v>
      </c>
      <c r="B43" s="168"/>
      <c r="C43" s="168"/>
      <c r="D43" s="164"/>
      <c r="E43" s="112">
        <f>SUM(E40:E42)</f>
        <v>0</v>
      </c>
    </row>
    <row r="45" spans="1:6" x14ac:dyDescent="0.25">
      <c r="A45" s="167" t="s">
        <v>487</v>
      </c>
      <c r="B45" s="167"/>
      <c r="C45" s="167"/>
      <c r="D45" s="167"/>
      <c r="E45" s="167"/>
      <c r="F45" s="167"/>
    </row>
    <row r="46" spans="1:6" x14ac:dyDescent="0.25">
      <c r="A46" s="113" t="s">
        <v>483</v>
      </c>
      <c r="B46" s="84" t="s">
        <v>494</v>
      </c>
      <c r="C46" s="89" t="s">
        <v>484</v>
      </c>
      <c r="D46" s="89" t="s">
        <v>485</v>
      </c>
      <c r="E46" s="89" t="s">
        <v>495</v>
      </c>
      <c r="F46" s="89" t="s">
        <v>486</v>
      </c>
    </row>
    <row r="47" spans="1:6" x14ac:dyDescent="0.25">
      <c r="A47" s="201"/>
      <c r="B47" s="202"/>
      <c r="C47" s="193"/>
      <c r="D47" s="193"/>
      <c r="E47" s="193"/>
      <c r="F47" s="193"/>
    </row>
    <row r="48" spans="1:6" x14ac:dyDescent="0.25">
      <c r="A48" s="203"/>
      <c r="B48" s="202"/>
      <c r="C48" s="193"/>
      <c r="D48" s="193"/>
      <c r="E48" s="193"/>
      <c r="F48" s="193"/>
    </row>
    <row r="49" spans="1:6" x14ac:dyDescent="0.25">
      <c r="A49" s="204"/>
      <c r="B49" s="202"/>
      <c r="C49" s="193"/>
      <c r="D49" s="193"/>
      <c r="E49" s="193"/>
      <c r="F49" s="193"/>
    </row>
    <row r="50" spans="1:6" x14ac:dyDescent="0.25">
      <c r="A50" s="204"/>
      <c r="B50" s="202"/>
      <c r="C50" s="193"/>
      <c r="D50" s="193"/>
      <c r="E50" s="193"/>
      <c r="F50" s="193"/>
    </row>
    <row r="51" spans="1:6" x14ac:dyDescent="0.25">
      <c r="A51" s="204"/>
      <c r="B51" s="202"/>
      <c r="C51" s="193"/>
      <c r="D51" s="193"/>
      <c r="E51" s="193"/>
      <c r="F51" s="193"/>
    </row>
    <row r="52" spans="1:6" x14ac:dyDescent="0.25">
      <c r="A52" s="205"/>
      <c r="B52" s="202"/>
      <c r="C52" s="206"/>
      <c r="D52" s="206"/>
      <c r="E52" s="206"/>
      <c r="F52" s="206"/>
    </row>
    <row r="53" spans="1:6" s="122" customFormat="1" x14ac:dyDescent="0.25">
      <c r="A53" s="113" t="s">
        <v>101</v>
      </c>
      <c r="B53" s="123">
        <f t="shared" ref="B53:C53" si="0">SUM(B47:B52)</f>
        <v>0</v>
      </c>
      <c r="C53" s="90">
        <f t="shared" si="0"/>
        <v>0</v>
      </c>
      <c r="D53" s="90">
        <f t="shared" ref="D53:E53" si="1">SUM(D47:D52)</f>
        <v>0</v>
      </c>
      <c r="E53" s="90">
        <f t="shared" si="1"/>
        <v>0</v>
      </c>
      <c r="F53" s="90">
        <f>SUM(F47:F52)</f>
        <v>0</v>
      </c>
    </row>
    <row r="54" spans="1:6" s="122" customFormat="1" x14ac:dyDescent="0.25">
      <c r="A54"/>
      <c r="B54"/>
      <c r="C54"/>
      <c r="D54"/>
      <c r="E54"/>
    </row>
    <row r="55" spans="1:6" x14ac:dyDescent="0.25">
      <c r="A55" s="162" t="s">
        <v>350</v>
      </c>
      <c r="B55" s="162"/>
      <c r="C55" s="162"/>
      <c r="D55" s="162"/>
      <c r="E55" s="162"/>
      <c r="F55" s="162"/>
    </row>
    <row r="56" spans="1:6" x14ac:dyDescent="0.25">
      <c r="A56" s="163" t="s">
        <v>337</v>
      </c>
      <c r="B56" s="163"/>
      <c r="C56" s="163"/>
      <c r="D56" s="163"/>
      <c r="E56" s="163"/>
      <c r="F56" s="83" t="s">
        <v>338</v>
      </c>
    </row>
    <row r="57" spans="1:6" ht="45" customHeight="1" x14ac:dyDescent="0.25">
      <c r="A57" s="161" t="s">
        <v>351</v>
      </c>
      <c r="B57" s="161"/>
      <c r="C57" s="161"/>
      <c r="D57" s="161"/>
      <c r="E57" s="161"/>
      <c r="F57" s="88" t="e">
        <f>('BO-REC'!D65-'BO-DESP'!D22)/(BF!E16-BF!B16)</f>
        <v>#DIV/0!</v>
      </c>
    </row>
    <row r="58" spans="1:6" ht="30" customHeight="1" x14ac:dyDescent="0.25">
      <c r="A58" s="161" t="s">
        <v>352</v>
      </c>
      <c r="B58" s="161"/>
      <c r="C58" s="161"/>
      <c r="D58" s="161"/>
      <c r="E58" s="161"/>
      <c r="F58" s="88" t="e">
        <f>E16/B16</f>
        <v>#DIV/0!</v>
      </c>
    </row>
  </sheetData>
  <sheetProtection sheet="1" objects="1" scenarios="1"/>
  <mergeCells count="44">
    <mergeCell ref="A43:D43"/>
    <mergeCell ref="A38:E38"/>
    <mergeCell ref="A39:D39"/>
    <mergeCell ref="A40:D40"/>
    <mergeCell ref="A41:D41"/>
    <mergeCell ref="A42:D42"/>
    <mergeCell ref="A19:F19"/>
    <mergeCell ref="D20:E20"/>
    <mergeCell ref="A3:C3"/>
    <mergeCell ref="D3:F3"/>
    <mergeCell ref="A1:F1"/>
    <mergeCell ref="D2:F2"/>
    <mergeCell ref="D21:E21"/>
    <mergeCell ref="A20:B20"/>
    <mergeCell ref="A21:B21"/>
    <mergeCell ref="A30:B30"/>
    <mergeCell ref="D30:E30"/>
    <mergeCell ref="A27:B27"/>
    <mergeCell ref="D27:E27"/>
    <mergeCell ref="A26:B26"/>
    <mergeCell ref="D26:E26"/>
    <mergeCell ref="A23:B23"/>
    <mergeCell ref="D23:E23"/>
    <mergeCell ref="A22:B22"/>
    <mergeCell ref="D22:E22"/>
    <mergeCell ref="A25:B25"/>
    <mergeCell ref="D25:E25"/>
    <mergeCell ref="A28:B28"/>
    <mergeCell ref="A58:E58"/>
    <mergeCell ref="A55:F55"/>
    <mergeCell ref="A56:E56"/>
    <mergeCell ref="A57:E57"/>
    <mergeCell ref="D24:E24"/>
    <mergeCell ref="A31:B31"/>
    <mergeCell ref="D31:E31"/>
    <mergeCell ref="A24:B24"/>
    <mergeCell ref="A29:B29"/>
    <mergeCell ref="D29:E29"/>
    <mergeCell ref="A45:F45"/>
    <mergeCell ref="D28:E28"/>
    <mergeCell ref="A33:E33"/>
    <mergeCell ref="A34:B34"/>
    <mergeCell ref="A35:B35"/>
    <mergeCell ref="A36:B36"/>
  </mergeCells>
  <printOptions horizontalCentered="1"/>
  <pageMargins left="0.39370078740157483" right="0.39370078740157483" top="1.1811023622047245" bottom="1.5748031496062993" header="0.39370078740157483" footer="0.39370078740157483"/>
  <pageSetup paperSize="9" scale="60" fitToHeight="0" orientation="portrait" r:id="rId1"/>
  <headerFooter>
    <oddHeader>&amp;C&amp;14MUNICÍPIO DE INDEPENDÊNCIA/RS
CNPJ nº 87.612.826/0001-90&amp;RCONSOLIDADO</oddHeader>
    <oddFooter>&amp;LEVERTON DA ROSA
Contador
CRC nº RS-076595/O-3
CPF nº 962.670.200-10&amp;CGILBERTO MARASCA
Prefeito Municipal
CPF nº 262.370.670-00&amp;RJAIR AZILDO MASSUDA GRENZEL
Secretário da Fazenda
CPF nº 499.073.440-87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2"/>
  <sheetViews>
    <sheetView topLeftCell="A84" zoomScaleNormal="100" workbookViewId="0">
      <selection activeCell="B95" sqref="B95:C98"/>
    </sheetView>
  </sheetViews>
  <sheetFormatPr defaultRowHeight="15" x14ac:dyDescent="0.25"/>
  <cols>
    <col min="1" max="1" width="62.85546875" bestFit="1" customWidth="1"/>
    <col min="2" max="2" width="14.140625" bestFit="1" customWidth="1"/>
    <col min="3" max="3" width="16.85546875" bestFit="1" customWidth="1"/>
  </cols>
  <sheetData>
    <row r="1" spans="1:10" x14ac:dyDescent="0.25">
      <c r="A1" s="169" t="s">
        <v>114</v>
      </c>
      <c r="B1" s="169"/>
      <c r="C1" s="169"/>
      <c r="D1" s="105"/>
      <c r="E1" s="105"/>
      <c r="F1" s="105"/>
      <c r="G1" s="105"/>
      <c r="H1" s="105"/>
      <c r="I1" s="105"/>
      <c r="J1" s="105"/>
    </row>
    <row r="2" spans="1:10" x14ac:dyDescent="0.25">
      <c r="A2" s="55" t="str">
        <f>'BO-REC'!A2</f>
        <v>EXERCÍCIO DE 2015</v>
      </c>
      <c r="B2" s="170" t="str">
        <f>'BO-REC'!B2:E2</f>
        <v>DE 01/01/2015 A 31/12/2015</v>
      </c>
      <c r="C2" s="170"/>
      <c r="E2" s="102"/>
      <c r="F2" s="102"/>
      <c r="G2" s="102"/>
      <c r="H2" s="102"/>
      <c r="I2" s="102"/>
      <c r="J2" s="102"/>
    </row>
    <row r="3" spans="1:10" x14ac:dyDescent="0.25">
      <c r="A3" s="11" t="s">
        <v>115</v>
      </c>
      <c r="B3" s="11" t="s">
        <v>116</v>
      </c>
      <c r="C3" s="11" t="s">
        <v>117</v>
      </c>
    </row>
    <row r="4" spans="1:10" x14ac:dyDescent="0.25">
      <c r="A4" s="92" t="s">
        <v>118</v>
      </c>
      <c r="B4" s="93">
        <f>B5+B9+B14+B18+B25+B34+B38</f>
        <v>0</v>
      </c>
      <c r="C4" s="93">
        <f>C5+C9+C14+C18+C25+C34+C38</f>
        <v>0</v>
      </c>
    </row>
    <row r="5" spans="1:10" x14ac:dyDescent="0.25">
      <c r="A5" s="53" t="s">
        <v>119</v>
      </c>
      <c r="B5" s="56">
        <f>SUM(B6:B8)</f>
        <v>0</v>
      </c>
      <c r="C5" s="56">
        <f>SUM(C6:C8)</f>
        <v>0</v>
      </c>
    </row>
    <row r="6" spans="1:10" x14ac:dyDescent="0.25">
      <c r="A6" s="50" t="s">
        <v>8</v>
      </c>
      <c r="B6" s="130"/>
      <c r="C6" s="130"/>
    </row>
    <row r="7" spans="1:10" x14ac:dyDescent="0.25">
      <c r="A7" s="50" t="s">
        <v>9</v>
      </c>
      <c r="B7" s="130"/>
      <c r="C7" s="130"/>
    </row>
    <row r="8" spans="1:10" x14ac:dyDescent="0.25">
      <c r="A8" s="54" t="s">
        <v>120</v>
      </c>
      <c r="B8" s="207"/>
      <c r="C8" s="207"/>
    </row>
    <row r="9" spans="1:10" x14ac:dyDescent="0.25">
      <c r="A9" s="53" t="s">
        <v>121</v>
      </c>
      <c r="B9" s="56">
        <f>SUM(B10:B13)</f>
        <v>0</v>
      </c>
      <c r="C9" s="56">
        <f>SUM(C10:C13)</f>
        <v>0</v>
      </c>
    </row>
    <row r="10" spans="1:10" x14ac:dyDescent="0.25">
      <c r="A10" s="50" t="s">
        <v>122</v>
      </c>
      <c r="B10" s="130"/>
      <c r="C10" s="130"/>
    </row>
    <row r="11" spans="1:10" x14ac:dyDescent="0.25">
      <c r="A11" s="50" t="s">
        <v>123</v>
      </c>
      <c r="B11" s="130"/>
      <c r="C11" s="130"/>
    </row>
    <row r="12" spans="1:10" x14ac:dyDescent="0.25">
      <c r="A12" s="50" t="s">
        <v>124</v>
      </c>
      <c r="B12" s="130"/>
      <c r="C12" s="130"/>
    </row>
    <row r="13" spans="1:10" x14ac:dyDescent="0.25">
      <c r="A13" s="54" t="s">
        <v>125</v>
      </c>
      <c r="B13" s="207"/>
      <c r="C13" s="207"/>
    </row>
    <row r="14" spans="1:10" x14ac:dyDescent="0.25">
      <c r="A14" s="53" t="s">
        <v>126</v>
      </c>
      <c r="B14" s="56">
        <f>SUM(B15:B17)</f>
        <v>0</v>
      </c>
      <c r="C14" s="56">
        <f>SUM(C15:C17)</f>
        <v>0</v>
      </c>
    </row>
    <row r="15" spans="1:10" x14ac:dyDescent="0.25">
      <c r="A15" s="50" t="s">
        <v>127</v>
      </c>
      <c r="B15" s="130"/>
      <c r="C15" s="130"/>
    </row>
    <row r="16" spans="1:10" x14ac:dyDescent="0.25">
      <c r="A16" s="50" t="s">
        <v>128</v>
      </c>
      <c r="B16" s="130"/>
      <c r="C16" s="130"/>
    </row>
    <row r="17" spans="1:3" x14ac:dyDescent="0.25">
      <c r="A17" s="54" t="s">
        <v>129</v>
      </c>
      <c r="B17" s="207"/>
      <c r="C17" s="207"/>
    </row>
    <row r="18" spans="1:3" x14ac:dyDescent="0.25">
      <c r="A18" s="53" t="s">
        <v>130</v>
      </c>
      <c r="B18" s="56">
        <f>SUM(B19:B24)</f>
        <v>0</v>
      </c>
      <c r="C18" s="56">
        <f>SUM(C19:C24)</f>
        <v>0</v>
      </c>
    </row>
    <row r="19" spans="1:3" x14ac:dyDescent="0.25">
      <c r="A19" s="50" t="s">
        <v>131</v>
      </c>
      <c r="B19" s="130"/>
      <c r="C19" s="130"/>
    </row>
    <row r="20" spans="1:3" x14ac:dyDescent="0.25">
      <c r="A20" s="50" t="s">
        <v>132</v>
      </c>
      <c r="B20" s="130"/>
      <c r="C20" s="130"/>
    </row>
    <row r="21" spans="1:3" x14ac:dyDescent="0.25">
      <c r="A21" s="50" t="s">
        <v>133</v>
      </c>
      <c r="B21" s="130"/>
      <c r="C21" s="130"/>
    </row>
    <row r="22" spans="1:3" x14ac:dyDescent="0.25">
      <c r="A22" s="50" t="s">
        <v>134</v>
      </c>
      <c r="B22" s="130"/>
      <c r="C22" s="130"/>
    </row>
    <row r="23" spans="1:3" x14ac:dyDescent="0.25">
      <c r="A23" s="50" t="s">
        <v>135</v>
      </c>
      <c r="B23" s="130"/>
      <c r="C23" s="130"/>
    </row>
    <row r="24" spans="1:3" x14ac:dyDescent="0.25">
      <c r="A24" s="54" t="s">
        <v>136</v>
      </c>
      <c r="B24" s="207"/>
      <c r="C24" s="207"/>
    </row>
    <row r="25" spans="1:3" x14ac:dyDescent="0.25">
      <c r="A25" s="53" t="s">
        <v>137</v>
      </c>
      <c r="B25" s="56">
        <f>SUM(B26:B33)</f>
        <v>0</v>
      </c>
      <c r="C25" s="56">
        <f>SUM(C26:C33)</f>
        <v>0</v>
      </c>
    </row>
    <row r="26" spans="1:3" x14ac:dyDescent="0.25">
      <c r="A26" s="50" t="s">
        <v>138</v>
      </c>
      <c r="B26" s="130"/>
      <c r="C26" s="130"/>
    </row>
    <row r="27" spans="1:3" x14ac:dyDescent="0.25">
      <c r="A27" s="50" t="s">
        <v>33</v>
      </c>
      <c r="B27" s="130"/>
      <c r="C27" s="130"/>
    </row>
    <row r="28" spans="1:3" x14ac:dyDescent="0.25">
      <c r="A28" s="50" t="s">
        <v>139</v>
      </c>
      <c r="B28" s="130"/>
      <c r="C28" s="130"/>
    </row>
    <row r="29" spans="1:3" x14ac:dyDescent="0.25">
      <c r="A29" s="50" t="s">
        <v>140</v>
      </c>
      <c r="B29" s="130"/>
      <c r="C29" s="130"/>
    </row>
    <row r="30" spans="1:3" x14ac:dyDescent="0.25">
      <c r="A30" s="50" t="s">
        <v>141</v>
      </c>
      <c r="B30" s="130"/>
      <c r="C30" s="130"/>
    </row>
    <row r="31" spans="1:3" x14ac:dyDescent="0.25">
      <c r="A31" s="50" t="s">
        <v>35</v>
      </c>
      <c r="B31" s="130"/>
      <c r="C31" s="130"/>
    </row>
    <row r="32" spans="1:3" x14ac:dyDescent="0.25">
      <c r="A32" s="50" t="s">
        <v>142</v>
      </c>
      <c r="B32" s="130"/>
      <c r="C32" s="130"/>
    </row>
    <row r="33" spans="1:3" x14ac:dyDescent="0.25">
      <c r="A33" s="54" t="s">
        <v>143</v>
      </c>
      <c r="B33" s="207"/>
      <c r="C33" s="207"/>
    </row>
    <row r="34" spans="1:3" x14ac:dyDescent="0.25">
      <c r="A34" s="53" t="s">
        <v>144</v>
      </c>
      <c r="B34" s="56">
        <f>SUM(B35:B37)</f>
        <v>0</v>
      </c>
      <c r="C34" s="56">
        <f>SUM(C35:C37)</f>
        <v>0</v>
      </c>
    </row>
    <row r="35" spans="1:3" x14ac:dyDescent="0.25">
      <c r="A35" s="50" t="s">
        <v>145</v>
      </c>
      <c r="B35" s="130"/>
      <c r="C35" s="130"/>
    </row>
    <row r="36" spans="1:3" x14ac:dyDescent="0.25">
      <c r="A36" s="50" t="s">
        <v>146</v>
      </c>
      <c r="B36" s="130"/>
      <c r="C36" s="130"/>
    </row>
    <row r="37" spans="1:3" x14ac:dyDescent="0.25">
      <c r="A37" s="54" t="s">
        <v>147</v>
      </c>
      <c r="B37" s="207"/>
      <c r="C37" s="207"/>
    </row>
    <row r="38" spans="1:3" x14ac:dyDescent="0.25">
      <c r="A38" s="53" t="s">
        <v>148</v>
      </c>
      <c r="B38" s="56">
        <f>SUM(B39:B42)</f>
        <v>0</v>
      </c>
      <c r="C38" s="56">
        <f>SUM(C39:C42)</f>
        <v>0</v>
      </c>
    </row>
    <row r="39" spans="1:3" x14ac:dyDescent="0.25">
      <c r="A39" s="50" t="s">
        <v>149</v>
      </c>
      <c r="B39" s="130"/>
      <c r="C39" s="130"/>
    </row>
    <row r="40" spans="1:3" x14ac:dyDescent="0.25">
      <c r="A40" s="50" t="s">
        <v>150</v>
      </c>
      <c r="B40" s="130"/>
      <c r="C40" s="130"/>
    </row>
    <row r="41" spans="1:3" x14ac:dyDescent="0.25">
      <c r="A41" s="50" t="s">
        <v>151</v>
      </c>
      <c r="B41" s="130"/>
      <c r="C41" s="130"/>
    </row>
    <row r="42" spans="1:3" x14ac:dyDescent="0.25">
      <c r="A42" s="54" t="s">
        <v>152</v>
      </c>
      <c r="B42" s="207"/>
      <c r="C42" s="207"/>
    </row>
    <row r="43" spans="1:3" x14ac:dyDescent="0.25">
      <c r="A43" s="92" t="s">
        <v>153</v>
      </c>
      <c r="B43" s="66">
        <f>B44+B50+B57+B62+B68+B76+B80+B84</f>
        <v>0</v>
      </c>
      <c r="C43" s="66">
        <f>C44+C50+C57+C62+C68+C76+C80+C84</f>
        <v>0</v>
      </c>
    </row>
    <row r="44" spans="1:3" x14ac:dyDescent="0.25">
      <c r="A44" s="53" t="s">
        <v>154</v>
      </c>
      <c r="B44" s="56">
        <f>SUM(B45:B49)</f>
        <v>0</v>
      </c>
      <c r="C44" s="56">
        <f>SUM(C45:C49)</f>
        <v>0</v>
      </c>
    </row>
    <row r="45" spans="1:3" x14ac:dyDescent="0.25">
      <c r="A45" s="50" t="s">
        <v>218</v>
      </c>
      <c r="B45" s="130"/>
      <c r="C45" s="130"/>
    </row>
    <row r="46" spans="1:3" x14ac:dyDescent="0.25">
      <c r="A46" s="50" t="s">
        <v>155</v>
      </c>
      <c r="B46" s="130"/>
      <c r="C46" s="130"/>
    </row>
    <row r="47" spans="1:3" x14ac:dyDescent="0.25">
      <c r="A47" s="50" t="s">
        <v>156</v>
      </c>
      <c r="B47" s="130"/>
      <c r="C47" s="130"/>
    </row>
    <row r="48" spans="1:3" x14ac:dyDescent="0.25">
      <c r="A48" s="50" t="s">
        <v>157</v>
      </c>
      <c r="B48" s="130"/>
      <c r="C48" s="130"/>
    </row>
    <row r="49" spans="1:3" x14ac:dyDescent="0.25">
      <c r="A49" s="54" t="s">
        <v>158</v>
      </c>
      <c r="B49" s="207"/>
      <c r="C49" s="207"/>
    </row>
    <row r="50" spans="1:3" x14ac:dyDescent="0.25">
      <c r="A50" s="53" t="s">
        <v>159</v>
      </c>
      <c r="B50" s="56">
        <f>SUM(B51:B56)</f>
        <v>0</v>
      </c>
      <c r="C50" s="56">
        <f>SUM(C51:C56)</f>
        <v>0</v>
      </c>
    </row>
    <row r="51" spans="1:3" x14ac:dyDescent="0.25">
      <c r="A51" s="50" t="s">
        <v>160</v>
      </c>
      <c r="B51" s="130"/>
      <c r="C51" s="130"/>
    </row>
    <row r="52" spans="1:3" x14ac:dyDescent="0.25">
      <c r="A52" s="50" t="s">
        <v>161</v>
      </c>
      <c r="B52" s="130"/>
      <c r="C52" s="130"/>
    </row>
    <row r="53" spans="1:3" x14ac:dyDescent="0.25">
      <c r="A53" s="50" t="s">
        <v>353</v>
      </c>
      <c r="B53" s="130"/>
      <c r="C53" s="130"/>
    </row>
    <row r="54" spans="1:3" x14ac:dyDescent="0.25">
      <c r="A54" s="50" t="s">
        <v>162</v>
      </c>
      <c r="B54" s="130"/>
      <c r="C54" s="130"/>
    </row>
    <row r="55" spans="1:3" x14ac:dyDescent="0.25">
      <c r="A55" s="50" t="s">
        <v>163</v>
      </c>
      <c r="B55" s="130"/>
      <c r="C55" s="130"/>
    </row>
    <row r="56" spans="1:3" x14ac:dyDescent="0.25">
      <c r="A56" s="54" t="s">
        <v>164</v>
      </c>
      <c r="B56" s="207"/>
      <c r="C56" s="207"/>
    </row>
    <row r="57" spans="1:3" x14ac:dyDescent="0.25">
      <c r="A57" s="53" t="s">
        <v>165</v>
      </c>
      <c r="B57" s="56">
        <f>SUM(B58:B61)</f>
        <v>0</v>
      </c>
      <c r="C57" s="56">
        <f>SUM(C58:C61)</f>
        <v>0</v>
      </c>
    </row>
    <row r="58" spans="1:3" x14ac:dyDescent="0.25">
      <c r="A58" s="50" t="s">
        <v>166</v>
      </c>
      <c r="B58" s="130"/>
      <c r="C58" s="130"/>
    </row>
    <row r="59" spans="1:3" x14ac:dyDescent="0.25">
      <c r="A59" s="50" t="s">
        <v>167</v>
      </c>
      <c r="B59" s="130"/>
      <c r="C59" s="130"/>
    </row>
    <row r="60" spans="1:3" x14ac:dyDescent="0.25">
      <c r="A60" s="50" t="s">
        <v>168</v>
      </c>
      <c r="B60" s="130"/>
      <c r="C60" s="130"/>
    </row>
    <row r="61" spans="1:3" x14ac:dyDescent="0.25">
      <c r="A61" s="54" t="s">
        <v>169</v>
      </c>
      <c r="B61" s="207"/>
      <c r="C61" s="207"/>
    </row>
    <row r="62" spans="1:3" x14ac:dyDescent="0.25">
      <c r="A62" s="53" t="s">
        <v>170</v>
      </c>
      <c r="B62" s="56">
        <f>SUM(B63:B67)</f>
        <v>0</v>
      </c>
      <c r="C62" s="56">
        <f>SUM(C63:C67)</f>
        <v>0</v>
      </c>
    </row>
    <row r="63" spans="1:3" x14ac:dyDescent="0.25">
      <c r="A63" s="50" t="s">
        <v>171</v>
      </c>
      <c r="B63" s="130"/>
      <c r="C63" s="130"/>
    </row>
    <row r="64" spans="1:3" x14ac:dyDescent="0.25">
      <c r="A64" s="50" t="s">
        <v>132</v>
      </c>
      <c r="B64" s="130"/>
      <c r="C64" s="130"/>
    </row>
    <row r="65" spans="1:3" x14ac:dyDescent="0.25">
      <c r="A65" s="50" t="s">
        <v>133</v>
      </c>
      <c r="B65" s="130"/>
      <c r="C65" s="130"/>
    </row>
    <row r="66" spans="1:3" x14ac:dyDescent="0.25">
      <c r="A66" s="50" t="s">
        <v>172</v>
      </c>
      <c r="B66" s="130"/>
      <c r="C66" s="130"/>
    </row>
    <row r="67" spans="1:3" x14ac:dyDescent="0.25">
      <c r="A67" s="54" t="s">
        <v>173</v>
      </c>
      <c r="B67" s="207"/>
      <c r="C67" s="207"/>
    </row>
    <row r="68" spans="1:3" x14ac:dyDescent="0.25">
      <c r="A68" s="53" t="s">
        <v>174</v>
      </c>
      <c r="B68" s="56">
        <f>SUM(B69:B75)</f>
        <v>0</v>
      </c>
      <c r="C68" s="56">
        <f>SUM(C69:C75)</f>
        <v>0</v>
      </c>
    </row>
    <row r="69" spans="1:3" x14ac:dyDescent="0.25">
      <c r="A69" s="50" t="s">
        <v>138</v>
      </c>
      <c r="B69" s="130"/>
      <c r="C69" s="130"/>
    </row>
    <row r="70" spans="1:3" x14ac:dyDescent="0.25">
      <c r="A70" s="50" t="s">
        <v>33</v>
      </c>
      <c r="B70" s="130"/>
      <c r="C70" s="130"/>
    </row>
    <row r="71" spans="1:3" x14ac:dyDescent="0.25">
      <c r="A71" s="50" t="s">
        <v>175</v>
      </c>
      <c r="B71" s="130"/>
      <c r="C71" s="130"/>
    </row>
    <row r="72" spans="1:3" x14ac:dyDescent="0.25">
      <c r="A72" s="50" t="s">
        <v>176</v>
      </c>
      <c r="B72" s="130"/>
      <c r="C72" s="130"/>
    </row>
    <row r="73" spans="1:3" x14ac:dyDescent="0.25">
      <c r="A73" s="50" t="s">
        <v>177</v>
      </c>
      <c r="B73" s="130"/>
      <c r="C73" s="130"/>
    </row>
    <row r="74" spans="1:3" x14ac:dyDescent="0.25">
      <c r="A74" s="50" t="s">
        <v>178</v>
      </c>
      <c r="B74" s="130"/>
      <c r="C74" s="130"/>
    </row>
    <row r="75" spans="1:3" x14ac:dyDescent="0.25">
      <c r="A75" s="54" t="s">
        <v>179</v>
      </c>
      <c r="B75" s="207"/>
      <c r="C75" s="207"/>
    </row>
    <row r="76" spans="1:3" x14ac:dyDescent="0.25">
      <c r="A76" s="53" t="s">
        <v>180</v>
      </c>
      <c r="B76" s="56">
        <f>SUM(B77:B79)</f>
        <v>0</v>
      </c>
      <c r="C76" s="56">
        <f>SUM(C77:C79)</f>
        <v>0</v>
      </c>
    </row>
    <row r="77" spans="1:3" x14ac:dyDescent="0.25">
      <c r="A77" s="50" t="s">
        <v>181</v>
      </c>
      <c r="B77" s="130"/>
      <c r="C77" s="130"/>
    </row>
    <row r="78" spans="1:3" x14ac:dyDescent="0.25">
      <c r="A78" s="50" t="s">
        <v>182</v>
      </c>
      <c r="B78" s="130"/>
      <c r="C78" s="130"/>
    </row>
    <row r="79" spans="1:3" x14ac:dyDescent="0.25">
      <c r="A79" s="54" t="s">
        <v>183</v>
      </c>
      <c r="B79" s="207"/>
      <c r="C79" s="207"/>
    </row>
    <row r="80" spans="1:3" x14ac:dyDescent="0.25">
      <c r="A80" s="53" t="s">
        <v>184</v>
      </c>
      <c r="B80" s="56">
        <f>SUM(B81:B83)</f>
        <v>0</v>
      </c>
      <c r="C80" s="56">
        <f>SUM(C81:C83)</f>
        <v>0</v>
      </c>
    </row>
    <row r="81" spans="1:3" x14ac:dyDescent="0.25">
      <c r="A81" s="50" t="s">
        <v>119</v>
      </c>
      <c r="B81" s="130"/>
      <c r="C81" s="130"/>
    </row>
    <row r="82" spans="1:3" x14ac:dyDescent="0.25">
      <c r="A82" s="50" t="s">
        <v>121</v>
      </c>
      <c r="B82" s="130"/>
      <c r="C82" s="130"/>
    </row>
    <row r="83" spans="1:3" x14ac:dyDescent="0.25">
      <c r="A83" s="54" t="s">
        <v>185</v>
      </c>
      <c r="B83" s="207"/>
      <c r="C83" s="207"/>
    </row>
    <row r="84" spans="1:3" x14ac:dyDescent="0.25">
      <c r="A84" s="53" t="s">
        <v>186</v>
      </c>
      <c r="B84" s="56">
        <f>SUM(B85:B92)</f>
        <v>0</v>
      </c>
      <c r="C84" s="56">
        <f>SUM(C85:C92)</f>
        <v>0</v>
      </c>
    </row>
    <row r="85" spans="1:3" x14ac:dyDescent="0.25">
      <c r="A85" s="50" t="s">
        <v>187</v>
      </c>
      <c r="B85" s="130"/>
      <c r="C85" s="130"/>
    </row>
    <row r="86" spans="1:3" x14ac:dyDescent="0.25">
      <c r="A86" s="50" t="s">
        <v>188</v>
      </c>
      <c r="B86" s="130"/>
      <c r="C86" s="130"/>
    </row>
    <row r="87" spans="1:3" x14ac:dyDescent="0.25">
      <c r="A87" s="50" t="s">
        <v>189</v>
      </c>
      <c r="B87" s="130"/>
      <c r="C87" s="130"/>
    </row>
    <row r="88" spans="1:3" x14ac:dyDescent="0.25">
      <c r="A88" s="50" t="s">
        <v>190</v>
      </c>
      <c r="B88" s="130"/>
      <c r="C88" s="130"/>
    </row>
    <row r="89" spans="1:3" x14ac:dyDescent="0.25">
      <c r="A89" s="50" t="s">
        <v>191</v>
      </c>
      <c r="B89" s="130"/>
      <c r="C89" s="130"/>
    </row>
    <row r="90" spans="1:3" x14ac:dyDescent="0.25">
      <c r="A90" s="50" t="s">
        <v>192</v>
      </c>
      <c r="B90" s="130"/>
      <c r="C90" s="130"/>
    </row>
    <row r="91" spans="1:3" x14ac:dyDescent="0.25">
      <c r="A91" s="50" t="s">
        <v>193</v>
      </c>
      <c r="B91" s="130"/>
      <c r="C91" s="130"/>
    </row>
    <row r="92" spans="1:3" x14ac:dyDescent="0.25">
      <c r="A92" s="54" t="s">
        <v>194</v>
      </c>
      <c r="B92" s="207"/>
      <c r="C92" s="207"/>
    </row>
    <row r="93" spans="1:3" x14ac:dyDescent="0.25">
      <c r="A93" s="11" t="s">
        <v>195</v>
      </c>
      <c r="B93" s="42">
        <f>B4-B43</f>
        <v>0</v>
      </c>
      <c r="C93" s="42">
        <f>C4-C43</f>
        <v>0</v>
      </c>
    </row>
    <row r="94" spans="1:3" x14ac:dyDescent="0.25">
      <c r="A94" s="157" t="s">
        <v>405</v>
      </c>
      <c r="B94" s="157"/>
      <c r="C94" s="157"/>
    </row>
    <row r="95" spans="1:3" x14ac:dyDescent="0.25">
      <c r="A95" s="21" t="s">
        <v>196</v>
      </c>
      <c r="B95" s="130"/>
      <c r="C95" s="130"/>
    </row>
    <row r="96" spans="1:3" x14ac:dyDescent="0.25">
      <c r="A96" s="21" t="s">
        <v>197</v>
      </c>
      <c r="B96" s="130"/>
      <c r="C96" s="130"/>
    </row>
    <row r="97" spans="1:3" x14ac:dyDescent="0.25">
      <c r="A97" s="21" t="s">
        <v>198</v>
      </c>
      <c r="B97" s="130"/>
      <c r="C97" s="130"/>
    </row>
    <row r="98" spans="1:3" x14ac:dyDescent="0.25">
      <c r="A98" s="52" t="s">
        <v>199</v>
      </c>
      <c r="B98" s="207"/>
      <c r="C98" s="207"/>
    </row>
    <row r="100" spans="1:3" x14ac:dyDescent="0.25">
      <c r="A100" s="171" t="s">
        <v>354</v>
      </c>
      <c r="B100" s="171"/>
      <c r="C100" s="171"/>
    </row>
    <row r="101" spans="1:3" x14ac:dyDescent="0.25">
      <c r="A101" s="172" t="s">
        <v>337</v>
      </c>
      <c r="B101" s="173"/>
      <c r="C101" s="92" t="s">
        <v>338</v>
      </c>
    </row>
    <row r="102" spans="1:3" ht="30.75" customHeight="1" x14ac:dyDescent="0.25">
      <c r="A102" s="161" t="s">
        <v>355</v>
      </c>
      <c r="B102" s="161"/>
      <c r="C102" s="94" t="e">
        <f>B4/B43</f>
        <v>#DIV/0!</v>
      </c>
    </row>
  </sheetData>
  <sheetProtection sheet="1" objects="1" scenarios="1"/>
  <mergeCells count="6">
    <mergeCell ref="A1:C1"/>
    <mergeCell ref="B2:C2"/>
    <mergeCell ref="A94:C94"/>
    <mergeCell ref="A102:B102"/>
    <mergeCell ref="A100:C100"/>
    <mergeCell ref="A101:B101"/>
  </mergeCells>
  <printOptions horizontalCentered="1"/>
  <pageMargins left="0.39370078740157483" right="0.39370078740157483" top="1.1811023622047245" bottom="1.5748031496062993" header="0.39370078740157483" footer="0.39370078740157483"/>
  <pageSetup paperSize="9" fitToHeight="0" orientation="portrait" r:id="rId1"/>
  <headerFooter>
    <oddHeader>&amp;C&amp;14MUNICÍPIO DE INDEPENDÊNCIA/RS
CNPJ nº 87.612.826/0001-90&amp;RCONSOLIDADO</oddHeader>
    <oddFooter>&amp;LEVERTON DA ROSA
Contador
CRC nº RS-076595/O-3
CPF nº 962.670.200-10&amp;CGILBERTO MARASCA
Prefeito Municipal
CPF nº 262.370.670-00&amp;RJAIR AZILDO MASSUDA GRENZEL
Secretário da Fazenda
CPF nº 499.073.440-87</oddFooter>
  </headerFooter>
  <rowBreaks count="2" manualBreakCount="2">
    <brk id="42" max="16383" man="1"/>
    <brk id="8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0"/>
  <sheetViews>
    <sheetView topLeftCell="A100" zoomScale="80" zoomScaleNormal="80" workbookViewId="0">
      <selection activeCell="B101" sqref="B101:C109"/>
    </sheetView>
  </sheetViews>
  <sheetFormatPr defaultRowHeight="15" x14ac:dyDescent="0.25"/>
  <cols>
    <col min="1" max="1" width="64.42578125" bestFit="1" customWidth="1"/>
    <col min="2" max="2" width="17.7109375" bestFit="1" customWidth="1"/>
    <col min="3" max="3" width="16.85546875" bestFit="1" customWidth="1"/>
    <col min="4" max="4" width="78" customWidth="1"/>
    <col min="5" max="5" width="18.5703125" bestFit="1" customWidth="1"/>
    <col min="6" max="6" width="22.7109375" bestFit="1" customWidth="1"/>
  </cols>
  <sheetData>
    <row r="1" spans="1:6" x14ac:dyDescent="0.25">
      <c r="A1" s="169" t="s">
        <v>200</v>
      </c>
      <c r="B1" s="169"/>
      <c r="C1" s="169"/>
      <c r="D1" s="169"/>
      <c r="E1" s="169"/>
      <c r="F1" s="169"/>
    </row>
    <row r="2" spans="1:6" x14ac:dyDescent="0.25">
      <c r="A2" s="55" t="str">
        <f>'BO-REC'!A2</f>
        <v>EXERCÍCIO DE 2015</v>
      </c>
      <c r="B2" s="55"/>
      <c r="C2" s="55"/>
      <c r="D2" s="170" t="str">
        <f>'BO-REC'!B2</f>
        <v>DE 01/01/2015 A 31/12/2015</v>
      </c>
      <c r="E2" s="170"/>
      <c r="F2" s="170"/>
    </row>
    <row r="3" spans="1:6" x14ac:dyDescent="0.25">
      <c r="A3" s="157" t="s">
        <v>201</v>
      </c>
      <c r="B3" s="157"/>
      <c r="C3" s="157"/>
      <c r="D3" s="157" t="s">
        <v>202</v>
      </c>
      <c r="E3" s="157"/>
      <c r="F3" s="157"/>
    </row>
    <row r="4" spans="1:6" x14ac:dyDescent="0.25">
      <c r="A4" s="11" t="s">
        <v>106</v>
      </c>
      <c r="B4" s="11" t="s">
        <v>116</v>
      </c>
      <c r="C4" s="11" t="s">
        <v>117</v>
      </c>
      <c r="D4" s="11" t="s">
        <v>106</v>
      </c>
      <c r="E4" s="11" t="s">
        <v>116</v>
      </c>
      <c r="F4" s="11" t="s">
        <v>117</v>
      </c>
    </row>
    <row r="5" spans="1:6" x14ac:dyDescent="0.25">
      <c r="A5" s="20" t="s">
        <v>203</v>
      </c>
      <c r="B5" s="38">
        <f>SUM(B6:B7,B15:B18)</f>
        <v>0</v>
      </c>
      <c r="C5" s="38">
        <f>SUM(C6:C7,C15:C18)</f>
        <v>0</v>
      </c>
      <c r="D5" s="20" t="s">
        <v>239</v>
      </c>
      <c r="E5" s="38">
        <f>SUM(E6:E12)</f>
        <v>0</v>
      </c>
      <c r="F5" s="38">
        <f>SUM(F6:F12)</f>
        <v>0</v>
      </c>
    </row>
    <row r="6" spans="1:6" x14ac:dyDescent="0.25">
      <c r="A6" s="50" t="s">
        <v>204</v>
      </c>
      <c r="B6" s="130"/>
      <c r="C6" s="130"/>
      <c r="D6" s="50" t="s">
        <v>240</v>
      </c>
      <c r="E6" s="130"/>
      <c r="F6" s="130"/>
    </row>
    <row r="7" spans="1:6" x14ac:dyDescent="0.25">
      <c r="A7" s="50" t="s">
        <v>205</v>
      </c>
      <c r="B7" s="40">
        <f>SUM(B8:B14)</f>
        <v>0</v>
      </c>
      <c r="C7" s="40">
        <f>SUM(C8:C14)</f>
        <v>0</v>
      </c>
      <c r="D7" s="50" t="s">
        <v>241</v>
      </c>
      <c r="E7" s="130"/>
      <c r="F7" s="130"/>
    </row>
    <row r="8" spans="1:6" x14ac:dyDescent="0.25">
      <c r="A8" s="51" t="s">
        <v>206</v>
      </c>
      <c r="B8" s="130"/>
      <c r="C8" s="130"/>
      <c r="D8" s="50" t="s">
        <v>242</v>
      </c>
      <c r="E8" s="130"/>
      <c r="F8" s="130"/>
    </row>
    <row r="9" spans="1:6" x14ac:dyDescent="0.25">
      <c r="A9" s="51" t="s">
        <v>207</v>
      </c>
      <c r="B9" s="130"/>
      <c r="C9" s="130"/>
      <c r="D9" s="50" t="s">
        <v>244</v>
      </c>
      <c r="E9" s="130"/>
      <c r="F9" s="130"/>
    </row>
    <row r="10" spans="1:6" x14ac:dyDescent="0.25">
      <c r="A10" s="51" t="s">
        <v>208</v>
      </c>
      <c r="B10" s="130"/>
      <c r="C10" s="130"/>
      <c r="D10" s="50" t="s">
        <v>245</v>
      </c>
      <c r="E10" s="130"/>
      <c r="F10" s="130"/>
    </row>
    <row r="11" spans="1:6" x14ac:dyDescent="0.25">
      <c r="A11" s="51" t="s">
        <v>209</v>
      </c>
      <c r="B11" s="130"/>
      <c r="C11" s="130"/>
      <c r="D11" s="50" t="s">
        <v>246</v>
      </c>
      <c r="E11" s="130"/>
      <c r="F11" s="130"/>
    </row>
    <row r="12" spans="1:6" x14ac:dyDescent="0.25">
      <c r="A12" s="51" t="s">
        <v>210</v>
      </c>
      <c r="B12" s="130"/>
      <c r="C12" s="130"/>
      <c r="D12" s="50" t="s">
        <v>247</v>
      </c>
      <c r="E12" s="130"/>
      <c r="F12" s="130"/>
    </row>
    <row r="13" spans="1:6" x14ac:dyDescent="0.25">
      <c r="A13" s="51" t="s">
        <v>211</v>
      </c>
      <c r="B13" s="130"/>
      <c r="C13" s="130"/>
      <c r="D13" s="21"/>
      <c r="E13" s="130"/>
      <c r="F13" s="130"/>
    </row>
    <row r="14" spans="1:6" x14ac:dyDescent="0.25">
      <c r="A14" s="51" t="s">
        <v>212</v>
      </c>
      <c r="B14" s="130"/>
      <c r="C14" s="130"/>
      <c r="D14" s="21"/>
      <c r="E14" s="130"/>
      <c r="F14" s="130"/>
    </row>
    <row r="15" spans="1:6" x14ac:dyDescent="0.25">
      <c r="A15" s="50" t="s">
        <v>213</v>
      </c>
      <c r="B15" s="130"/>
      <c r="C15" s="130"/>
      <c r="D15" s="21"/>
      <c r="E15" s="130"/>
      <c r="F15" s="130"/>
    </row>
    <row r="16" spans="1:6" x14ac:dyDescent="0.25">
      <c r="A16" s="50" t="s">
        <v>214</v>
      </c>
      <c r="B16" s="130"/>
      <c r="C16" s="130"/>
      <c r="D16" s="21"/>
      <c r="E16" s="130"/>
      <c r="F16" s="130"/>
    </row>
    <row r="17" spans="1:6" x14ac:dyDescent="0.25">
      <c r="A17" s="50" t="s">
        <v>215</v>
      </c>
      <c r="B17" s="130"/>
      <c r="C17" s="130"/>
      <c r="D17" s="21"/>
      <c r="E17" s="130"/>
      <c r="F17" s="130"/>
    </row>
    <row r="18" spans="1:6" x14ac:dyDescent="0.25">
      <c r="A18" s="50" t="s">
        <v>216</v>
      </c>
      <c r="B18" s="130"/>
      <c r="C18" s="130"/>
      <c r="D18" s="21"/>
      <c r="E18" s="130"/>
      <c r="F18" s="130"/>
    </row>
    <row r="19" spans="1:6" x14ac:dyDescent="0.25">
      <c r="A19" s="58" t="s">
        <v>217</v>
      </c>
      <c r="B19" s="38">
        <f>B20+B32+B38</f>
        <v>0</v>
      </c>
      <c r="C19" s="38">
        <f>C20+C32+C38</f>
        <v>0</v>
      </c>
      <c r="D19" s="20" t="s">
        <v>248</v>
      </c>
      <c r="E19" s="38">
        <f>SUM(E20:E27)</f>
        <v>0</v>
      </c>
      <c r="F19" s="38">
        <f>SUM(F20:F27)</f>
        <v>0</v>
      </c>
    </row>
    <row r="20" spans="1:6" x14ac:dyDescent="0.25">
      <c r="A20" s="59" t="s">
        <v>219</v>
      </c>
      <c r="B20" s="64">
        <f>SUM(B21,B28:B31)</f>
        <v>0</v>
      </c>
      <c r="C20" s="64">
        <f>SUM(C21,C28:C31)</f>
        <v>0</v>
      </c>
      <c r="D20" s="50" t="s">
        <v>249</v>
      </c>
      <c r="E20" s="130"/>
      <c r="F20" s="130"/>
    </row>
    <row r="21" spans="1:6" x14ac:dyDescent="0.25">
      <c r="A21" s="51" t="s">
        <v>220</v>
      </c>
      <c r="B21" s="40">
        <f>SUM(B22:B27)</f>
        <v>0</v>
      </c>
      <c r="C21" s="40">
        <f>SUM(C22:C27)</f>
        <v>0</v>
      </c>
      <c r="D21" s="50" t="s">
        <v>243</v>
      </c>
      <c r="E21" s="130"/>
      <c r="F21" s="130"/>
    </row>
    <row r="22" spans="1:6" x14ac:dyDescent="0.25">
      <c r="A22" s="60" t="s">
        <v>206</v>
      </c>
      <c r="B22" s="130"/>
      <c r="C22" s="130"/>
      <c r="D22" s="50" t="s">
        <v>250</v>
      </c>
      <c r="E22" s="130"/>
      <c r="F22" s="130"/>
    </row>
    <row r="23" spans="1:6" x14ac:dyDescent="0.25">
      <c r="A23" s="60" t="s">
        <v>207</v>
      </c>
      <c r="B23" s="130"/>
      <c r="C23" s="130"/>
      <c r="D23" s="50" t="s">
        <v>251</v>
      </c>
      <c r="E23" s="130"/>
      <c r="F23" s="130"/>
    </row>
    <row r="24" spans="1:6" x14ac:dyDescent="0.25">
      <c r="A24" s="60" t="s">
        <v>208</v>
      </c>
      <c r="B24" s="130"/>
      <c r="C24" s="130"/>
      <c r="D24" s="50" t="s">
        <v>245</v>
      </c>
      <c r="E24" s="130"/>
      <c r="F24" s="130"/>
    </row>
    <row r="25" spans="1:6" x14ac:dyDescent="0.25">
      <c r="A25" s="60" t="s">
        <v>209</v>
      </c>
      <c r="B25" s="130"/>
      <c r="C25" s="130"/>
      <c r="D25" s="50" t="s">
        <v>252</v>
      </c>
      <c r="E25" s="130"/>
      <c r="F25" s="130"/>
    </row>
    <row r="26" spans="1:6" x14ac:dyDescent="0.25">
      <c r="A26" s="60" t="s">
        <v>211</v>
      </c>
      <c r="B26" s="130"/>
      <c r="C26" s="130"/>
      <c r="D26" s="50" t="s">
        <v>253</v>
      </c>
      <c r="E26" s="130"/>
      <c r="F26" s="130"/>
    </row>
    <row r="27" spans="1:6" x14ac:dyDescent="0.25">
      <c r="A27" s="60" t="s">
        <v>212</v>
      </c>
      <c r="B27" s="130"/>
      <c r="C27" s="130"/>
      <c r="D27" s="50" t="s">
        <v>469</v>
      </c>
      <c r="E27" s="130"/>
      <c r="F27" s="130"/>
    </row>
    <row r="28" spans="1:6" x14ac:dyDescent="0.25">
      <c r="A28" s="51" t="s">
        <v>221</v>
      </c>
      <c r="B28" s="130"/>
      <c r="C28" s="130"/>
      <c r="D28" s="57" t="s">
        <v>254</v>
      </c>
      <c r="E28" s="65">
        <f>E5+E19</f>
        <v>0</v>
      </c>
      <c r="F28" s="65">
        <f>F5+F19</f>
        <v>0</v>
      </c>
    </row>
    <row r="29" spans="1:6" x14ac:dyDescent="0.25">
      <c r="A29" s="51" t="s">
        <v>222</v>
      </c>
      <c r="B29" s="130"/>
      <c r="C29" s="130"/>
      <c r="D29" s="157" t="s">
        <v>255</v>
      </c>
      <c r="E29" s="157"/>
      <c r="F29" s="157"/>
    </row>
    <row r="30" spans="1:6" x14ac:dyDescent="0.25">
      <c r="A30" s="51" t="s">
        <v>215</v>
      </c>
      <c r="B30" s="130"/>
      <c r="C30" s="130"/>
      <c r="D30" s="11" t="s">
        <v>106</v>
      </c>
      <c r="E30" s="11" t="s">
        <v>116</v>
      </c>
      <c r="F30" s="11" t="s">
        <v>117</v>
      </c>
    </row>
    <row r="31" spans="1:6" x14ac:dyDescent="0.25">
      <c r="A31" s="51" t="s">
        <v>216</v>
      </c>
      <c r="B31" s="130"/>
      <c r="C31" s="130"/>
      <c r="D31" s="61" t="s">
        <v>256</v>
      </c>
      <c r="E31" s="130"/>
      <c r="F31" s="130"/>
    </row>
    <row r="32" spans="1:6" x14ac:dyDescent="0.25">
      <c r="A32" s="59" t="s">
        <v>223</v>
      </c>
      <c r="B32" s="64">
        <f>SUM(B33,B36:B37)</f>
        <v>0</v>
      </c>
      <c r="C32" s="64">
        <f>SUM(C33,C36:C37)</f>
        <v>0</v>
      </c>
      <c r="D32" s="61" t="s">
        <v>356</v>
      </c>
      <c r="E32" s="130"/>
      <c r="F32" s="130"/>
    </row>
    <row r="33" spans="1:6" x14ac:dyDescent="0.25">
      <c r="A33" s="51" t="s">
        <v>224</v>
      </c>
      <c r="B33" s="40">
        <f>SUM(B34:B35)</f>
        <v>0</v>
      </c>
      <c r="C33" s="40">
        <f>SUM(C34:C35)</f>
        <v>0</v>
      </c>
      <c r="D33" s="61" t="s">
        <v>257</v>
      </c>
      <c r="E33" s="130"/>
      <c r="F33" s="130"/>
    </row>
    <row r="34" spans="1:6" x14ac:dyDescent="0.25">
      <c r="A34" s="60" t="s">
        <v>225</v>
      </c>
      <c r="B34" s="130"/>
      <c r="C34" s="130"/>
      <c r="D34" s="61" t="s">
        <v>258</v>
      </c>
      <c r="E34" s="130"/>
      <c r="F34" s="130"/>
    </row>
    <row r="35" spans="1:6" x14ac:dyDescent="0.25">
      <c r="A35" s="60" t="s">
        <v>226</v>
      </c>
      <c r="B35" s="130"/>
      <c r="C35" s="130"/>
      <c r="D35" s="61" t="s">
        <v>259</v>
      </c>
      <c r="E35" s="130"/>
      <c r="F35" s="130"/>
    </row>
    <row r="36" spans="1:6" x14ac:dyDescent="0.25">
      <c r="A36" s="51" t="s">
        <v>227</v>
      </c>
      <c r="B36" s="130"/>
      <c r="C36" s="130"/>
      <c r="D36" s="61" t="s">
        <v>260</v>
      </c>
      <c r="E36" s="130"/>
      <c r="F36" s="130"/>
    </row>
    <row r="37" spans="1:6" x14ac:dyDescent="0.25">
      <c r="A37" s="51" t="s">
        <v>228</v>
      </c>
      <c r="B37" s="130"/>
      <c r="C37" s="130"/>
      <c r="D37" s="61" t="s">
        <v>261</v>
      </c>
      <c r="E37" s="40">
        <f>SUM(E38:E40)</f>
        <v>0</v>
      </c>
      <c r="F37" s="40">
        <f>SUM(F38:F40)</f>
        <v>0</v>
      </c>
    </row>
    <row r="38" spans="1:6" x14ac:dyDescent="0.25">
      <c r="A38" s="59" t="s">
        <v>229</v>
      </c>
      <c r="B38" s="64">
        <f>SUM(B39:B41)</f>
        <v>0</v>
      </c>
      <c r="C38" s="64">
        <f>SUM(C39:C41)</f>
        <v>0</v>
      </c>
      <c r="D38" s="50" t="s">
        <v>262</v>
      </c>
      <c r="E38" s="130"/>
      <c r="F38" s="130"/>
    </row>
    <row r="39" spans="1:6" x14ac:dyDescent="0.25">
      <c r="A39" s="51" t="s">
        <v>230</v>
      </c>
      <c r="B39" s="130"/>
      <c r="C39" s="130"/>
      <c r="D39" s="50" t="s">
        <v>263</v>
      </c>
      <c r="E39" s="130"/>
      <c r="F39" s="130"/>
    </row>
    <row r="40" spans="1:6" x14ac:dyDescent="0.25">
      <c r="A40" s="51" t="s">
        <v>231</v>
      </c>
      <c r="B40" s="130"/>
      <c r="C40" s="130"/>
      <c r="D40" s="50" t="s">
        <v>264</v>
      </c>
      <c r="E40" s="130"/>
      <c r="F40" s="130"/>
    </row>
    <row r="41" spans="1:6" x14ac:dyDescent="0.25">
      <c r="A41" s="51" t="s">
        <v>232</v>
      </c>
      <c r="B41" s="130"/>
      <c r="C41" s="130"/>
      <c r="D41" s="61" t="s">
        <v>265</v>
      </c>
      <c r="E41" s="130"/>
      <c r="F41" s="130"/>
    </row>
    <row r="42" spans="1:6" x14ac:dyDescent="0.25">
      <c r="A42" s="60" t="s">
        <v>233</v>
      </c>
      <c r="B42" s="130"/>
      <c r="C42" s="130"/>
      <c r="D42" s="62" t="s">
        <v>266</v>
      </c>
      <c r="E42" s="65">
        <f>SUM(E31:E37,E41)</f>
        <v>0</v>
      </c>
      <c r="F42" s="65">
        <f>SUM(F31:F37,F41)</f>
        <v>0</v>
      </c>
    </row>
    <row r="43" spans="1:6" x14ac:dyDescent="0.25">
      <c r="A43" s="60" t="s">
        <v>234</v>
      </c>
      <c r="B43" s="130"/>
      <c r="C43" s="130"/>
      <c r="D43" s="21"/>
      <c r="E43" s="40"/>
      <c r="F43" s="40"/>
    </row>
    <row r="44" spans="1:6" x14ac:dyDescent="0.25">
      <c r="A44" s="60" t="s">
        <v>235</v>
      </c>
      <c r="B44" s="130"/>
      <c r="C44" s="130"/>
      <c r="D44" s="21"/>
      <c r="E44" s="40"/>
      <c r="F44" s="40"/>
    </row>
    <row r="45" spans="1:6" x14ac:dyDescent="0.25">
      <c r="A45" s="63" t="s">
        <v>101</v>
      </c>
      <c r="B45" s="42">
        <f>B19+B5</f>
        <v>0</v>
      </c>
      <c r="C45" s="42">
        <f>C19+C5</f>
        <v>0</v>
      </c>
      <c r="D45" s="11" t="s">
        <v>101</v>
      </c>
      <c r="E45" s="42">
        <f>E28+E42</f>
        <v>0</v>
      </c>
      <c r="F45" s="42">
        <f>F28+F42</f>
        <v>0</v>
      </c>
    </row>
    <row r="46" spans="1:6" x14ac:dyDescent="0.25">
      <c r="E46" s="80"/>
      <c r="F46" s="80"/>
    </row>
    <row r="47" spans="1:6" x14ac:dyDescent="0.25">
      <c r="A47" s="57" t="s">
        <v>236</v>
      </c>
      <c r="B47" s="208"/>
      <c r="C47" s="208"/>
      <c r="D47" s="24" t="s">
        <v>267</v>
      </c>
      <c r="E47" s="208"/>
      <c r="F47" s="208"/>
    </row>
    <row r="48" spans="1:6" x14ac:dyDescent="0.25">
      <c r="A48" s="57" t="s">
        <v>237</v>
      </c>
      <c r="B48" s="208"/>
      <c r="C48" s="208"/>
      <c r="D48" s="24" t="s">
        <v>268</v>
      </c>
      <c r="E48" s="208"/>
      <c r="F48" s="208"/>
    </row>
    <row r="49" spans="1:6" x14ac:dyDescent="0.25">
      <c r="A49" s="177" t="s">
        <v>238</v>
      </c>
      <c r="B49" s="177"/>
      <c r="C49" s="177"/>
      <c r="D49" s="177"/>
      <c r="E49" s="66">
        <f>B47+B48-E47-E48</f>
        <v>0</v>
      </c>
      <c r="F49" s="42">
        <f>C47+C48-F47-F48</f>
        <v>0</v>
      </c>
    </row>
    <row r="50" spans="1:6" x14ac:dyDescent="0.25">
      <c r="A50" s="177" t="s">
        <v>470</v>
      </c>
      <c r="B50" s="177"/>
      <c r="C50" s="177"/>
      <c r="D50" s="177"/>
      <c r="E50" s="66">
        <f>B47-E47</f>
        <v>0</v>
      </c>
      <c r="F50" s="42">
        <f>C47-F47</f>
        <v>0</v>
      </c>
    </row>
    <row r="52" spans="1:6" x14ac:dyDescent="0.25">
      <c r="A52" s="174" t="s">
        <v>357</v>
      </c>
      <c r="B52" s="175"/>
      <c r="C52" s="175"/>
      <c r="D52" s="175"/>
      <c r="E52" s="175"/>
      <c r="F52" s="176"/>
    </row>
    <row r="53" spans="1:6" x14ac:dyDescent="0.25">
      <c r="A53" s="95" t="s">
        <v>106</v>
      </c>
      <c r="B53" s="175" t="s">
        <v>116</v>
      </c>
      <c r="C53" s="175" t="s">
        <v>117</v>
      </c>
      <c r="D53" s="84" t="s">
        <v>106</v>
      </c>
      <c r="E53" s="175" t="s">
        <v>116</v>
      </c>
      <c r="F53" s="176" t="s">
        <v>117</v>
      </c>
    </row>
    <row r="54" spans="1:6" x14ac:dyDescent="0.25">
      <c r="A54" s="95" t="s">
        <v>358</v>
      </c>
      <c r="B54" s="175"/>
      <c r="C54" s="175"/>
      <c r="D54" s="84" t="s">
        <v>359</v>
      </c>
      <c r="E54" s="175"/>
      <c r="F54" s="176"/>
    </row>
    <row r="55" spans="1:6" x14ac:dyDescent="0.25">
      <c r="A55" s="96" t="s">
        <v>471</v>
      </c>
      <c r="B55" s="209"/>
      <c r="C55" s="209"/>
      <c r="D55" s="96" t="s">
        <v>473</v>
      </c>
      <c r="E55" s="209"/>
      <c r="F55" s="210"/>
    </row>
    <row r="56" spans="1:6" x14ac:dyDescent="0.25">
      <c r="A56" s="96" t="s">
        <v>472</v>
      </c>
      <c r="B56" s="209"/>
      <c r="C56" s="209"/>
      <c r="D56" s="96" t="s">
        <v>474</v>
      </c>
      <c r="E56" s="209"/>
      <c r="F56" s="210"/>
    </row>
    <row r="57" spans="1:6" x14ac:dyDescent="0.25">
      <c r="A57" s="96" t="s">
        <v>360</v>
      </c>
      <c r="B57" s="209"/>
      <c r="C57" s="209"/>
      <c r="D57" s="97" t="s">
        <v>475</v>
      </c>
      <c r="E57" s="209"/>
      <c r="F57" s="210"/>
    </row>
    <row r="58" spans="1:6" x14ac:dyDescent="0.25">
      <c r="A58" s="95" t="s">
        <v>101</v>
      </c>
      <c r="B58" s="86">
        <f>SUM(B55:B57)</f>
        <v>0</v>
      </c>
      <c r="C58" s="86">
        <f>SUM(C55:C57)</f>
        <v>0</v>
      </c>
      <c r="D58" s="84" t="s">
        <v>101</v>
      </c>
      <c r="E58" s="86">
        <f>SUM(E55:E57)</f>
        <v>0</v>
      </c>
      <c r="F58" s="87">
        <f>SUM(F55:F57)</f>
        <v>0</v>
      </c>
    </row>
    <row r="60" spans="1:6" x14ac:dyDescent="0.25">
      <c r="A60" s="174" t="s">
        <v>361</v>
      </c>
      <c r="B60" s="175"/>
      <c r="C60" s="175"/>
      <c r="D60" s="175"/>
      <c r="E60" s="175"/>
      <c r="F60" s="176"/>
    </row>
    <row r="61" spans="1:6" x14ac:dyDescent="0.25">
      <c r="A61" s="113" t="s">
        <v>362</v>
      </c>
      <c r="B61" s="89" t="s">
        <v>419</v>
      </c>
      <c r="C61" s="89" t="s">
        <v>420</v>
      </c>
      <c r="D61" s="89" t="s">
        <v>421</v>
      </c>
      <c r="E61" s="89" t="s">
        <v>422</v>
      </c>
      <c r="F61" s="85" t="s">
        <v>423</v>
      </c>
    </row>
    <row r="62" spans="1:6" x14ac:dyDescent="0.25">
      <c r="A62" s="211" t="s">
        <v>424</v>
      </c>
      <c r="B62" s="212"/>
      <c r="C62" s="212"/>
      <c r="D62" s="212"/>
      <c r="E62" s="212"/>
      <c r="F62" s="114">
        <f>B62-C62-D62-E62</f>
        <v>0</v>
      </c>
    </row>
    <row r="63" spans="1:6" x14ac:dyDescent="0.25">
      <c r="A63" s="211" t="s">
        <v>425</v>
      </c>
      <c r="B63" s="212"/>
      <c r="C63" s="212"/>
      <c r="D63" s="212"/>
      <c r="E63" s="212"/>
      <c r="F63" s="114">
        <f t="shared" ref="F63:F96" si="0">B63-C63-D63-E63</f>
        <v>0</v>
      </c>
    </row>
    <row r="64" spans="1:6" x14ac:dyDescent="0.25">
      <c r="A64" s="211" t="s">
        <v>426</v>
      </c>
      <c r="B64" s="212"/>
      <c r="C64" s="212"/>
      <c r="D64" s="212"/>
      <c r="E64" s="212"/>
      <c r="F64" s="114">
        <f t="shared" si="0"/>
        <v>0</v>
      </c>
    </row>
    <row r="65" spans="1:6" x14ac:dyDescent="0.25">
      <c r="A65" s="211" t="s">
        <v>427</v>
      </c>
      <c r="B65" s="212"/>
      <c r="C65" s="212"/>
      <c r="D65" s="212"/>
      <c r="E65" s="212"/>
      <c r="F65" s="114">
        <f t="shared" si="0"/>
        <v>0</v>
      </c>
    </row>
    <row r="66" spans="1:6" x14ac:dyDescent="0.25">
      <c r="A66" s="211"/>
      <c r="B66" s="212"/>
      <c r="C66" s="212"/>
      <c r="D66" s="212"/>
      <c r="E66" s="212"/>
      <c r="F66" s="114">
        <f t="shared" si="0"/>
        <v>0</v>
      </c>
    </row>
    <row r="67" spans="1:6" x14ac:dyDescent="0.25">
      <c r="A67" s="211"/>
      <c r="B67" s="212"/>
      <c r="C67" s="212"/>
      <c r="D67" s="212"/>
      <c r="E67" s="212"/>
      <c r="F67" s="114">
        <f t="shared" si="0"/>
        <v>0</v>
      </c>
    </row>
    <row r="68" spans="1:6" x14ac:dyDescent="0.25">
      <c r="A68" s="211"/>
      <c r="B68" s="212"/>
      <c r="C68" s="212"/>
      <c r="D68" s="212"/>
      <c r="E68" s="212"/>
      <c r="F68" s="114">
        <f t="shared" si="0"/>
        <v>0</v>
      </c>
    </row>
    <row r="69" spans="1:6" x14ac:dyDescent="0.25">
      <c r="A69" s="211"/>
      <c r="B69" s="212"/>
      <c r="C69" s="212"/>
      <c r="D69" s="212"/>
      <c r="E69" s="212"/>
      <c r="F69" s="114">
        <f t="shared" si="0"/>
        <v>0</v>
      </c>
    </row>
    <row r="70" spans="1:6" x14ac:dyDescent="0.25">
      <c r="A70" s="211"/>
      <c r="B70" s="212"/>
      <c r="C70" s="212"/>
      <c r="D70" s="212"/>
      <c r="E70" s="212"/>
      <c r="F70" s="114">
        <f t="shared" si="0"/>
        <v>0</v>
      </c>
    </row>
    <row r="71" spans="1:6" x14ac:dyDescent="0.25">
      <c r="A71" s="211"/>
      <c r="B71" s="212"/>
      <c r="C71" s="212"/>
      <c r="D71" s="212"/>
      <c r="E71" s="212"/>
      <c r="F71" s="114">
        <f t="shared" si="0"/>
        <v>0</v>
      </c>
    </row>
    <row r="72" spans="1:6" x14ac:dyDescent="0.25">
      <c r="A72" s="211"/>
      <c r="B72" s="212"/>
      <c r="C72" s="212"/>
      <c r="D72" s="212"/>
      <c r="E72" s="212"/>
      <c r="F72" s="114">
        <f t="shared" si="0"/>
        <v>0</v>
      </c>
    </row>
    <row r="73" spans="1:6" x14ac:dyDescent="0.25">
      <c r="A73" s="211"/>
      <c r="B73" s="212"/>
      <c r="C73" s="212"/>
      <c r="D73" s="212"/>
      <c r="E73" s="212"/>
      <c r="F73" s="114">
        <f t="shared" si="0"/>
        <v>0</v>
      </c>
    </row>
    <row r="74" spans="1:6" x14ac:dyDescent="0.25">
      <c r="A74" s="211"/>
      <c r="B74" s="212"/>
      <c r="C74" s="212"/>
      <c r="D74" s="212"/>
      <c r="E74" s="212"/>
      <c r="F74" s="114">
        <f t="shared" si="0"/>
        <v>0</v>
      </c>
    </row>
    <row r="75" spans="1:6" x14ac:dyDescent="0.25">
      <c r="A75" s="211"/>
      <c r="B75" s="212"/>
      <c r="C75" s="212"/>
      <c r="D75" s="212"/>
      <c r="E75" s="212"/>
      <c r="F75" s="114">
        <f t="shared" si="0"/>
        <v>0</v>
      </c>
    </row>
    <row r="76" spans="1:6" x14ac:dyDescent="0.25">
      <c r="A76" s="211"/>
      <c r="B76" s="212"/>
      <c r="C76" s="212"/>
      <c r="D76" s="212"/>
      <c r="E76" s="212"/>
      <c r="F76" s="114">
        <f t="shared" si="0"/>
        <v>0</v>
      </c>
    </row>
    <row r="77" spans="1:6" x14ac:dyDescent="0.25">
      <c r="A77" s="211"/>
      <c r="B77" s="212"/>
      <c r="C77" s="212"/>
      <c r="D77" s="212"/>
      <c r="E77" s="212"/>
      <c r="F77" s="114">
        <f t="shared" si="0"/>
        <v>0</v>
      </c>
    </row>
    <row r="78" spans="1:6" x14ac:dyDescent="0.25">
      <c r="A78" s="211"/>
      <c r="B78" s="212"/>
      <c r="C78" s="212"/>
      <c r="D78" s="212"/>
      <c r="E78" s="212"/>
      <c r="F78" s="114">
        <f t="shared" si="0"/>
        <v>0</v>
      </c>
    </row>
    <row r="79" spans="1:6" x14ac:dyDescent="0.25">
      <c r="A79" s="211"/>
      <c r="B79" s="212"/>
      <c r="C79" s="212"/>
      <c r="D79" s="212"/>
      <c r="E79" s="212"/>
      <c r="F79" s="114">
        <f t="shared" si="0"/>
        <v>0</v>
      </c>
    </row>
    <row r="80" spans="1:6" x14ac:dyDescent="0.25">
      <c r="A80" s="211"/>
      <c r="B80" s="212"/>
      <c r="C80" s="212"/>
      <c r="D80" s="212"/>
      <c r="E80" s="212"/>
      <c r="F80" s="114">
        <f t="shared" si="0"/>
        <v>0</v>
      </c>
    </row>
    <row r="81" spans="1:6" x14ac:dyDescent="0.25">
      <c r="A81" s="211"/>
      <c r="B81" s="212"/>
      <c r="C81" s="212"/>
      <c r="D81" s="212"/>
      <c r="E81" s="212"/>
      <c r="F81" s="114">
        <f t="shared" si="0"/>
        <v>0</v>
      </c>
    </row>
    <row r="82" spans="1:6" x14ac:dyDescent="0.25">
      <c r="A82" s="211"/>
      <c r="B82" s="212"/>
      <c r="C82" s="212"/>
      <c r="D82" s="212"/>
      <c r="E82" s="212"/>
      <c r="F82" s="114">
        <f t="shared" si="0"/>
        <v>0</v>
      </c>
    </row>
    <row r="83" spans="1:6" x14ac:dyDescent="0.25">
      <c r="A83" s="211"/>
      <c r="B83" s="212"/>
      <c r="C83" s="212"/>
      <c r="D83" s="212"/>
      <c r="E83" s="212"/>
      <c r="F83" s="114">
        <f t="shared" si="0"/>
        <v>0</v>
      </c>
    </row>
    <row r="84" spans="1:6" x14ac:dyDescent="0.25">
      <c r="A84" s="211"/>
      <c r="B84" s="212"/>
      <c r="C84" s="212"/>
      <c r="D84" s="212"/>
      <c r="E84" s="212"/>
      <c r="F84" s="114">
        <f t="shared" si="0"/>
        <v>0</v>
      </c>
    </row>
    <row r="85" spans="1:6" x14ac:dyDescent="0.25">
      <c r="A85" s="211"/>
      <c r="B85" s="212"/>
      <c r="C85" s="212"/>
      <c r="D85" s="212"/>
      <c r="E85" s="212"/>
      <c r="F85" s="114">
        <f t="shared" si="0"/>
        <v>0</v>
      </c>
    </row>
    <row r="86" spans="1:6" x14ac:dyDescent="0.25">
      <c r="A86" s="211"/>
      <c r="B86" s="212"/>
      <c r="C86" s="212"/>
      <c r="D86" s="212"/>
      <c r="E86" s="212"/>
      <c r="F86" s="114">
        <f t="shared" si="0"/>
        <v>0</v>
      </c>
    </row>
    <row r="87" spans="1:6" x14ac:dyDescent="0.25">
      <c r="A87" s="211"/>
      <c r="B87" s="212"/>
      <c r="C87" s="212"/>
      <c r="D87" s="212"/>
      <c r="E87" s="212"/>
      <c r="F87" s="114">
        <f t="shared" si="0"/>
        <v>0</v>
      </c>
    </row>
    <row r="88" spans="1:6" x14ac:dyDescent="0.25">
      <c r="A88" s="211"/>
      <c r="B88" s="212"/>
      <c r="C88" s="212"/>
      <c r="D88" s="212"/>
      <c r="E88" s="212"/>
      <c r="F88" s="114">
        <f t="shared" si="0"/>
        <v>0</v>
      </c>
    </row>
    <row r="89" spans="1:6" x14ac:dyDescent="0.25">
      <c r="A89" s="211"/>
      <c r="B89" s="212"/>
      <c r="C89" s="212"/>
      <c r="D89" s="212"/>
      <c r="E89" s="212"/>
      <c r="F89" s="114">
        <f t="shared" si="0"/>
        <v>0</v>
      </c>
    </row>
    <row r="90" spans="1:6" x14ac:dyDescent="0.25">
      <c r="A90" s="211"/>
      <c r="B90" s="212"/>
      <c r="C90" s="212"/>
      <c r="D90" s="212"/>
      <c r="E90" s="212"/>
      <c r="F90" s="114">
        <f t="shared" si="0"/>
        <v>0</v>
      </c>
    </row>
    <row r="91" spans="1:6" x14ac:dyDescent="0.25">
      <c r="A91" s="211"/>
      <c r="B91" s="212"/>
      <c r="C91" s="212"/>
      <c r="D91" s="212"/>
      <c r="E91" s="212"/>
      <c r="F91" s="114">
        <f t="shared" si="0"/>
        <v>0</v>
      </c>
    </row>
    <row r="92" spans="1:6" x14ac:dyDescent="0.25">
      <c r="A92" s="211"/>
      <c r="B92" s="212"/>
      <c r="C92" s="212"/>
      <c r="D92" s="212"/>
      <c r="E92" s="212"/>
      <c r="F92" s="114">
        <f t="shared" si="0"/>
        <v>0</v>
      </c>
    </row>
    <row r="93" spans="1:6" x14ac:dyDescent="0.25">
      <c r="A93" s="211"/>
      <c r="B93" s="212"/>
      <c r="C93" s="212"/>
      <c r="D93" s="212"/>
      <c r="E93" s="212"/>
      <c r="F93" s="114">
        <f t="shared" si="0"/>
        <v>0</v>
      </c>
    </row>
    <row r="94" spans="1:6" x14ac:dyDescent="0.25">
      <c r="A94" s="211"/>
      <c r="B94" s="212"/>
      <c r="C94" s="212"/>
      <c r="D94" s="212"/>
      <c r="E94" s="212"/>
      <c r="F94" s="114">
        <f t="shared" si="0"/>
        <v>0</v>
      </c>
    </row>
    <row r="95" spans="1:6" x14ac:dyDescent="0.25">
      <c r="A95" s="211"/>
      <c r="B95" s="212"/>
      <c r="C95" s="212"/>
      <c r="D95" s="212"/>
      <c r="E95" s="212"/>
      <c r="F95" s="114">
        <f t="shared" si="0"/>
        <v>0</v>
      </c>
    </row>
    <row r="96" spans="1:6" x14ac:dyDescent="0.25">
      <c r="A96" s="211"/>
      <c r="B96" s="212"/>
      <c r="C96" s="212"/>
      <c r="D96" s="212"/>
      <c r="E96" s="212"/>
      <c r="F96" s="114">
        <f t="shared" si="0"/>
        <v>0</v>
      </c>
    </row>
    <row r="97" spans="1:6" x14ac:dyDescent="0.25">
      <c r="A97" s="107" t="s">
        <v>101</v>
      </c>
      <c r="B97" s="115">
        <f>SUM(B62:B96)</f>
        <v>0</v>
      </c>
      <c r="C97" s="115">
        <f>SUM(C62:C96)</f>
        <v>0</v>
      </c>
      <c r="D97" s="115">
        <f>SUM(D62:D96)</f>
        <v>0</v>
      </c>
      <c r="E97" s="115">
        <f>SUM(E62:E96)</f>
        <v>0</v>
      </c>
      <c r="F97" s="116">
        <f>SUM(F62:F96)</f>
        <v>0</v>
      </c>
    </row>
    <row r="98" spans="1:6" x14ac:dyDescent="0.25">
      <c r="B98" s="121"/>
      <c r="E98" s="121"/>
      <c r="F98" s="121"/>
    </row>
    <row r="99" spans="1:6" x14ac:dyDescent="0.25">
      <c r="A99" s="178" t="s">
        <v>468</v>
      </c>
      <c r="B99" s="178"/>
      <c r="C99" s="178"/>
      <c r="D99" s="178"/>
      <c r="E99" s="178"/>
      <c r="F99" s="178"/>
    </row>
    <row r="100" spans="1:6" x14ac:dyDescent="0.25">
      <c r="A100" s="113" t="s">
        <v>428</v>
      </c>
      <c r="B100" s="89" t="s">
        <v>429</v>
      </c>
      <c r="C100" s="89" t="s">
        <v>430</v>
      </c>
      <c r="D100" s="110" t="s">
        <v>431</v>
      </c>
    </row>
    <row r="101" spans="1:6" x14ac:dyDescent="0.25">
      <c r="A101" s="108" t="s">
        <v>432</v>
      </c>
      <c r="B101" s="212"/>
      <c r="C101" s="212"/>
      <c r="D101" s="117">
        <f>B101-C101</f>
        <v>0</v>
      </c>
    </row>
    <row r="102" spans="1:6" x14ac:dyDescent="0.25">
      <c r="A102" s="108" t="s">
        <v>433</v>
      </c>
      <c r="B102" s="212"/>
      <c r="C102" s="212"/>
      <c r="D102" s="117">
        <f t="shared" ref="D102:D109" si="1">B102-C102</f>
        <v>0</v>
      </c>
    </row>
    <row r="103" spans="1:6" x14ac:dyDescent="0.25">
      <c r="A103" s="108" t="s">
        <v>434</v>
      </c>
      <c r="B103" s="212"/>
      <c r="C103" s="212"/>
      <c r="D103" s="117">
        <f t="shared" si="1"/>
        <v>0</v>
      </c>
    </row>
    <row r="104" spans="1:6" x14ac:dyDescent="0.25">
      <c r="A104" s="108" t="s">
        <v>435</v>
      </c>
      <c r="B104" s="212"/>
      <c r="C104" s="212"/>
      <c r="D104" s="117">
        <f t="shared" si="1"/>
        <v>0</v>
      </c>
    </row>
    <row r="105" spans="1:6" x14ac:dyDescent="0.25">
      <c r="A105" s="108" t="s">
        <v>436</v>
      </c>
      <c r="B105" s="212"/>
      <c r="C105" s="212"/>
      <c r="D105" s="117">
        <f t="shared" si="1"/>
        <v>0</v>
      </c>
    </row>
    <row r="106" spans="1:6" x14ac:dyDescent="0.25">
      <c r="A106" s="108" t="s">
        <v>437</v>
      </c>
      <c r="B106" s="212"/>
      <c r="C106" s="212"/>
      <c r="D106" s="117">
        <f t="shared" si="1"/>
        <v>0</v>
      </c>
    </row>
    <row r="107" spans="1:6" x14ac:dyDescent="0.25">
      <c r="A107" s="108" t="s">
        <v>438</v>
      </c>
      <c r="B107" s="212"/>
      <c r="C107" s="212"/>
      <c r="D107" s="117">
        <f t="shared" si="1"/>
        <v>0</v>
      </c>
    </row>
    <row r="108" spans="1:6" x14ac:dyDescent="0.25">
      <c r="A108" s="108" t="s">
        <v>439</v>
      </c>
      <c r="B108" s="212"/>
      <c r="C108" s="212"/>
      <c r="D108" s="117">
        <f t="shared" si="1"/>
        <v>0</v>
      </c>
    </row>
    <row r="109" spans="1:6" x14ac:dyDescent="0.25">
      <c r="A109" s="108" t="s">
        <v>440</v>
      </c>
      <c r="B109" s="212"/>
      <c r="C109" s="212"/>
      <c r="D109" s="117">
        <f t="shared" si="1"/>
        <v>0</v>
      </c>
    </row>
    <row r="110" spans="1:6" x14ac:dyDescent="0.25">
      <c r="A110" s="107" t="s">
        <v>101</v>
      </c>
      <c r="B110" s="115">
        <f>SUM(B101:B109)</f>
        <v>0</v>
      </c>
      <c r="C110" s="115">
        <f>SUM(C101:C109)</f>
        <v>0</v>
      </c>
      <c r="D110" s="118">
        <f>SUM(D101:D109)</f>
        <v>0</v>
      </c>
    </row>
    <row r="112" spans="1:6" x14ac:dyDescent="0.25">
      <c r="A112" s="179" t="s">
        <v>370</v>
      </c>
      <c r="B112" s="179"/>
      <c r="C112" s="179"/>
      <c r="D112" s="179"/>
      <c r="E112" s="179"/>
      <c r="F112" s="179"/>
    </row>
    <row r="113" spans="1:6" x14ac:dyDescent="0.25">
      <c r="A113" s="178" t="s">
        <v>337</v>
      </c>
      <c r="B113" s="178"/>
      <c r="C113" s="178"/>
      <c r="D113" s="178"/>
      <c r="E113" s="178"/>
      <c r="F113" s="2" t="s">
        <v>338</v>
      </c>
    </row>
    <row r="114" spans="1:6" ht="31.5" customHeight="1" x14ac:dyDescent="0.25">
      <c r="A114" s="161" t="s">
        <v>364</v>
      </c>
      <c r="B114" s="161"/>
      <c r="C114" s="161"/>
      <c r="D114" s="161"/>
      <c r="E114" s="161"/>
      <c r="F114" s="94">
        <f>IF(ISERR(B6/E5),0,B6/E5)</f>
        <v>0</v>
      </c>
    </row>
    <row r="115" spans="1:6" x14ac:dyDescent="0.25">
      <c r="A115" s="161" t="s">
        <v>363</v>
      </c>
      <c r="B115" s="161"/>
      <c r="C115" s="161"/>
      <c r="D115" s="161"/>
      <c r="E115" s="161"/>
      <c r="F115" s="94">
        <f>IF(ISERR(B5/E5),0,B5/E5)</f>
        <v>0</v>
      </c>
    </row>
    <row r="116" spans="1:6" ht="30.75" customHeight="1" x14ac:dyDescent="0.25">
      <c r="A116" s="161" t="s">
        <v>365</v>
      </c>
      <c r="B116" s="161"/>
      <c r="C116" s="161"/>
      <c r="D116" s="161"/>
      <c r="E116" s="161"/>
      <c r="F116" s="94">
        <f>IF(ISERR((B6+B7)/E5),0,(B6+B7)/E5)</f>
        <v>0</v>
      </c>
    </row>
    <row r="117" spans="1:6" ht="30" customHeight="1" x14ac:dyDescent="0.25">
      <c r="A117" s="161" t="s">
        <v>367</v>
      </c>
      <c r="B117" s="161"/>
      <c r="C117" s="161"/>
      <c r="D117" s="161"/>
      <c r="E117" s="161"/>
      <c r="F117" s="94" t="e">
        <f>(B5+B20)/(E5+E19)</f>
        <v>#DIV/0!</v>
      </c>
    </row>
    <row r="118" spans="1:6" ht="30.75" customHeight="1" x14ac:dyDescent="0.25">
      <c r="A118" s="161" t="s">
        <v>366</v>
      </c>
      <c r="B118" s="161"/>
      <c r="C118" s="161"/>
      <c r="D118" s="161"/>
      <c r="E118" s="161"/>
      <c r="F118" s="94" t="e">
        <f>(B5+B19)/(E5+E19)</f>
        <v>#DIV/0!</v>
      </c>
    </row>
    <row r="119" spans="1:6" x14ac:dyDescent="0.25">
      <c r="A119" s="161" t="s">
        <v>368</v>
      </c>
      <c r="B119" s="161"/>
      <c r="C119" s="161"/>
      <c r="D119" s="161"/>
      <c r="E119" s="161"/>
      <c r="F119" s="94" t="e">
        <f>(E5+E19)/B45</f>
        <v>#DIV/0!</v>
      </c>
    </row>
    <row r="120" spans="1:6" x14ac:dyDescent="0.25">
      <c r="A120" s="161" t="s">
        <v>369</v>
      </c>
      <c r="B120" s="161"/>
      <c r="C120" s="161"/>
      <c r="D120" s="161"/>
      <c r="E120" s="161"/>
      <c r="F120" s="100" t="e">
        <f>E5/(E5+E19)</f>
        <v>#DIV/0!</v>
      </c>
    </row>
  </sheetData>
  <sheetProtection sheet="1" objects="1" scenarios="1"/>
  <mergeCells count="23">
    <mergeCell ref="A99:F99"/>
    <mergeCell ref="A112:F112"/>
    <mergeCell ref="A113:E113"/>
    <mergeCell ref="A120:E120"/>
    <mergeCell ref="A115:E115"/>
    <mergeCell ref="A116:E116"/>
    <mergeCell ref="A117:E117"/>
    <mergeCell ref="A118:E118"/>
    <mergeCell ref="A119:E119"/>
    <mergeCell ref="A114:E114"/>
    <mergeCell ref="A1:F1"/>
    <mergeCell ref="D2:F2"/>
    <mergeCell ref="A60:F60"/>
    <mergeCell ref="A52:F52"/>
    <mergeCell ref="B53:B54"/>
    <mergeCell ref="C53:C54"/>
    <mergeCell ref="E53:E54"/>
    <mergeCell ref="F53:F54"/>
    <mergeCell ref="A50:D50"/>
    <mergeCell ref="A49:D49"/>
    <mergeCell ref="D29:F29"/>
    <mergeCell ref="A3:C3"/>
    <mergeCell ref="D3:F3"/>
  </mergeCells>
  <printOptions horizontalCentered="1"/>
  <pageMargins left="0.39370078740157483" right="0.39370078740157483" top="1.1811023622047245" bottom="1.5748031496062993" header="0.39370078740157483" footer="0.39370078740157483"/>
  <pageSetup paperSize="9" scale="44" fitToHeight="0" orientation="portrait" r:id="rId1"/>
  <headerFooter>
    <oddHeader>&amp;C&amp;14MUNICÍPIO DE INDEPENDÊNCIA/RS
CNPJ nº 87.612.826/0001-90&amp;RCONSOLIDADO</oddHeader>
    <oddFooter>&amp;LEVERTON DA ROSA
Contador
CRC nº RS-076595/O-3
CPF nº 962.670.200-10&amp;CGILBERTO MARASCA
Prefeito Municipal
CPF nº 262.370.670-00&amp;RJAIR AZILDO MASSUDA GRENZEL
Secretário da Fazenda
CPF nº 499.073.440-87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topLeftCell="A71" zoomScaleNormal="100" workbookViewId="0">
      <selection activeCell="B78" activeCellId="10" sqref="B7:C9 B11:C16 B19:C23 B27:C46 B48:C50 B53:C57 B61:C63 B65:C68 B72:C72 B74:C74 B78:C79"/>
    </sheetView>
  </sheetViews>
  <sheetFormatPr defaultRowHeight="15" x14ac:dyDescent="0.25"/>
  <cols>
    <col min="1" max="1" width="87.7109375" bestFit="1" customWidth="1"/>
    <col min="2" max="2" width="20.5703125" bestFit="1" customWidth="1"/>
    <col min="3" max="3" width="24.42578125" bestFit="1" customWidth="1"/>
    <col min="4" max="4" width="10.140625" bestFit="1" customWidth="1"/>
  </cols>
  <sheetData>
    <row r="1" spans="1:10" x14ac:dyDescent="0.25">
      <c r="A1" s="137" t="s">
        <v>269</v>
      </c>
      <c r="B1" s="137"/>
      <c r="C1" s="137"/>
      <c r="D1" s="103"/>
      <c r="E1" s="103"/>
      <c r="F1" s="103"/>
      <c r="G1" s="103"/>
      <c r="H1" s="103"/>
      <c r="I1" s="103"/>
      <c r="J1" s="103"/>
    </row>
    <row r="2" spans="1:10" x14ac:dyDescent="0.25">
      <c r="A2" s="69" t="str">
        <f>'BO-REC'!A2</f>
        <v>EXERCÍCIO DE 2015</v>
      </c>
      <c r="B2" s="155" t="str">
        <f>'BO-REC'!B2:E2</f>
        <v>DE 01/01/2015 A 31/12/2015</v>
      </c>
      <c r="C2" s="155"/>
      <c r="E2" s="102"/>
      <c r="F2" s="102"/>
    </row>
    <row r="3" spans="1:10" x14ac:dyDescent="0.25">
      <c r="A3" s="11" t="s">
        <v>106</v>
      </c>
      <c r="B3" s="11" t="s">
        <v>116</v>
      </c>
      <c r="C3" s="11" t="s">
        <v>117</v>
      </c>
    </row>
    <row r="4" spans="1:10" x14ac:dyDescent="0.25">
      <c r="A4" s="158" t="s">
        <v>270</v>
      </c>
      <c r="B4" s="160"/>
      <c r="C4" s="156"/>
    </row>
    <row r="5" spans="1:10" x14ac:dyDescent="0.25">
      <c r="A5" s="24" t="s">
        <v>105</v>
      </c>
      <c r="B5" s="65">
        <f>B6+B10+B17+B24</f>
        <v>1668185.59</v>
      </c>
      <c r="C5" s="65">
        <f>C6+C10+C17</f>
        <v>0</v>
      </c>
    </row>
    <row r="6" spans="1:10" x14ac:dyDescent="0.25">
      <c r="A6" s="62" t="s">
        <v>271</v>
      </c>
      <c r="B6" s="65">
        <f>SUM(B7:B9)</f>
        <v>0</v>
      </c>
      <c r="C6" s="65">
        <f>SUM(C7:C9)</f>
        <v>0</v>
      </c>
    </row>
    <row r="7" spans="1:10" x14ac:dyDescent="0.25">
      <c r="A7" s="67" t="s">
        <v>272</v>
      </c>
      <c r="B7" s="209"/>
      <c r="C7" s="209"/>
    </row>
    <row r="8" spans="1:10" x14ac:dyDescent="0.25">
      <c r="A8" s="67" t="s">
        <v>273</v>
      </c>
      <c r="B8" s="209"/>
      <c r="C8" s="209"/>
    </row>
    <row r="9" spans="1:10" x14ac:dyDescent="0.25">
      <c r="A9" s="67" t="s">
        <v>274</v>
      </c>
      <c r="B9" s="209"/>
      <c r="C9" s="209"/>
    </row>
    <row r="10" spans="1:10" x14ac:dyDescent="0.25">
      <c r="A10" s="62" t="s">
        <v>275</v>
      </c>
      <c r="B10" s="65">
        <f>SUM(B11:B16)</f>
        <v>0</v>
      </c>
      <c r="C10" s="65">
        <f>SUM(C11:C16)</f>
        <v>0</v>
      </c>
    </row>
    <row r="11" spans="1:10" x14ac:dyDescent="0.25">
      <c r="A11" s="67" t="s">
        <v>276</v>
      </c>
      <c r="B11" s="209"/>
      <c r="C11" s="209"/>
    </row>
    <row r="12" spans="1:10" x14ac:dyDescent="0.25">
      <c r="A12" s="67" t="s">
        <v>277</v>
      </c>
      <c r="B12" s="209"/>
      <c r="C12" s="209"/>
    </row>
    <row r="13" spans="1:10" x14ac:dyDescent="0.25">
      <c r="A13" s="67" t="s">
        <v>278</v>
      </c>
      <c r="B13" s="209"/>
      <c r="C13" s="209"/>
    </row>
    <row r="14" spans="1:10" x14ac:dyDescent="0.25">
      <c r="A14" s="67" t="s">
        <v>279</v>
      </c>
      <c r="B14" s="209"/>
      <c r="C14" s="209"/>
    </row>
    <row r="15" spans="1:10" x14ac:dyDescent="0.25">
      <c r="A15" s="67" t="s">
        <v>280</v>
      </c>
      <c r="B15" s="209"/>
      <c r="C15" s="209"/>
    </row>
    <row r="16" spans="1:10" x14ac:dyDescent="0.25">
      <c r="A16" s="67" t="s">
        <v>281</v>
      </c>
      <c r="B16" s="209"/>
      <c r="C16" s="209"/>
    </row>
    <row r="17" spans="1:3" x14ac:dyDescent="0.25">
      <c r="A17" s="62" t="s">
        <v>282</v>
      </c>
      <c r="B17" s="65">
        <f>B18+B23+B22</f>
        <v>0</v>
      </c>
      <c r="C17" s="65">
        <f>C18+C23+C22</f>
        <v>0</v>
      </c>
    </row>
    <row r="18" spans="1:3" x14ac:dyDescent="0.25">
      <c r="A18" s="67" t="s">
        <v>283</v>
      </c>
      <c r="B18" s="71">
        <f>SUM(B19:B21)</f>
        <v>0</v>
      </c>
      <c r="C18" s="71">
        <f>SUM(C19:C21)</f>
        <v>0</v>
      </c>
    </row>
    <row r="19" spans="1:3" x14ac:dyDescent="0.25">
      <c r="A19" s="68" t="s">
        <v>284</v>
      </c>
      <c r="B19" s="209"/>
      <c r="C19" s="209"/>
    </row>
    <row r="20" spans="1:3" x14ac:dyDescent="0.25">
      <c r="A20" s="68" t="s">
        <v>285</v>
      </c>
      <c r="B20" s="209"/>
      <c r="C20" s="209"/>
    </row>
    <row r="21" spans="1:3" x14ac:dyDescent="0.25">
      <c r="A21" s="68" t="s">
        <v>286</v>
      </c>
      <c r="B21" s="209"/>
      <c r="C21" s="209"/>
    </row>
    <row r="22" spans="1:3" x14ac:dyDescent="0.25">
      <c r="A22" s="67" t="s">
        <v>441</v>
      </c>
      <c r="B22" s="209"/>
      <c r="C22" s="209"/>
    </row>
    <row r="23" spans="1:3" x14ac:dyDescent="0.25">
      <c r="A23" s="67" t="s">
        <v>287</v>
      </c>
      <c r="B23" s="209"/>
      <c r="C23" s="209"/>
    </row>
    <row r="24" spans="1:3" s="2" customFormat="1" x14ac:dyDescent="0.25">
      <c r="A24" s="62" t="s">
        <v>479</v>
      </c>
      <c r="B24" s="65">
        <f>1668198.07-12.48</f>
        <v>1668185.59</v>
      </c>
      <c r="C24" s="65"/>
    </row>
    <row r="25" spans="1:3" x14ac:dyDescent="0.25">
      <c r="A25" s="57" t="s">
        <v>288</v>
      </c>
      <c r="B25" s="65">
        <f>B26+B47+B51+B57</f>
        <v>0</v>
      </c>
      <c r="C25" s="65">
        <f>C26+C47+C51+C57</f>
        <v>0</v>
      </c>
    </row>
    <row r="26" spans="1:3" x14ac:dyDescent="0.25">
      <c r="A26" s="62" t="s">
        <v>289</v>
      </c>
      <c r="B26" s="65">
        <f>SUM(B27:B46)</f>
        <v>0</v>
      </c>
      <c r="C26" s="65">
        <f>SUM(C27:C46)</f>
        <v>0</v>
      </c>
    </row>
    <row r="27" spans="1:3" x14ac:dyDescent="0.25">
      <c r="A27" s="67" t="s">
        <v>290</v>
      </c>
      <c r="B27" s="209"/>
      <c r="C27" s="209"/>
    </row>
    <row r="28" spans="1:3" x14ac:dyDescent="0.25">
      <c r="A28" s="67" t="s">
        <v>291</v>
      </c>
      <c r="B28" s="209"/>
      <c r="C28" s="209"/>
    </row>
    <row r="29" spans="1:3" x14ac:dyDescent="0.25">
      <c r="A29" s="67" t="s">
        <v>292</v>
      </c>
      <c r="B29" s="209"/>
      <c r="C29" s="209"/>
    </row>
    <row r="30" spans="1:3" x14ac:dyDescent="0.25">
      <c r="A30" s="67" t="s">
        <v>442</v>
      </c>
      <c r="B30" s="209"/>
      <c r="C30" s="209"/>
    </row>
    <row r="31" spans="1:3" x14ac:dyDescent="0.25">
      <c r="A31" s="67" t="s">
        <v>293</v>
      </c>
      <c r="B31" s="209"/>
      <c r="C31" s="209"/>
    </row>
    <row r="32" spans="1:3" x14ac:dyDescent="0.25">
      <c r="A32" s="67" t="s">
        <v>449</v>
      </c>
      <c r="B32" s="209"/>
      <c r="C32" s="209"/>
    </row>
    <row r="33" spans="1:3" x14ac:dyDescent="0.25">
      <c r="A33" s="67" t="s">
        <v>450</v>
      </c>
      <c r="B33" s="209"/>
      <c r="C33" s="209"/>
    </row>
    <row r="34" spans="1:3" x14ac:dyDescent="0.25">
      <c r="A34" s="67" t="s">
        <v>446</v>
      </c>
      <c r="B34" s="209"/>
      <c r="C34" s="209"/>
    </row>
    <row r="35" spans="1:3" x14ac:dyDescent="0.25">
      <c r="A35" s="67" t="s">
        <v>294</v>
      </c>
      <c r="B35" s="209"/>
      <c r="C35" s="209"/>
    </row>
    <row r="36" spans="1:3" x14ac:dyDescent="0.25">
      <c r="A36" s="67" t="s">
        <v>476</v>
      </c>
      <c r="B36" s="209"/>
      <c r="C36" s="209"/>
    </row>
    <row r="37" spans="1:3" x14ac:dyDescent="0.25">
      <c r="A37" s="67" t="s">
        <v>444</v>
      </c>
      <c r="B37" s="209"/>
      <c r="C37" s="209"/>
    </row>
    <row r="38" spans="1:3" x14ac:dyDescent="0.25">
      <c r="A38" s="67" t="s">
        <v>447</v>
      </c>
      <c r="B38" s="209"/>
      <c r="C38" s="209"/>
    </row>
    <row r="39" spans="1:3" x14ac:dyDescent="0.25">
      <c r="A39" s="67" t="s">
        <v>295</v>
      </c>
      <c r="B39" s="209"/>
      <c r="C39" s="209"/>
    </row>
    <row r="40" spans="1:3" x14ac:dyDescent="0.25">
      <c r="A40" s="67" t="s">
        <v>296</v>
      </c>
      <c r="B40" s="209"/>
      <c r="C40" s="209"/>
    </row>
    <row r="41" spans="1:3" x14ac:dyDescent="0.25">
      <c r="A41" s="67" t="s">
        <v>445</v>
      </c>
      <c r="B41" s="209"/>
      <c r="C41" s="209"/>
    </row>
    <row r="42" spans="1:3" x14ac:dyDescent="0.25">
      <c r="A42" s="67" t="s">
        <v>297</v>
      </c>
      <c r="B42" s="209"/>
      <c r="C42" s="209"/>
    </row>
    <row r="43" spans="1:3" x14ac:dyDescent="0.25">
      <c r="A43" s="67" t="s">
        <v>298</v>
      </c>
      <c r="B43" s="209"/>
      <c r="C43" s="209"/>
    </row>
    <row r="44" spans="1:3" x14ac:dyDescent="0.25">
      <c r="A44" s="67" t="s">
        <v>113</v>
      </c>
      <c r="B44" s="209"/>
      <c r="C44" s="209"/>
    </row>
    <row r="45" spans="1:3" x14ac:dyDescent="0.25">
      <c r="A45" s="67" t="s">
        <v>448</v>
      </c>
      <c r="B45" s="209"/>
      <c r="C45" s="209"/>
    </row>
    <row r="46" spans="1:3" x14ac:dyDescent="0.25">
      <c r="A46" s="67" t="s">
        <v>443</v>
      </c>
      <c r="B46" s="209"/>
      <c r="C46" s="209"/>
    </row>
    <row r="47" spans="1:3" x14ac:dyDescent="0.25">
      <c r="A47" s="62" t="s">
        <v>77</v>
      </c>
      <c r="B47" s="65">
        <f>SUM(B48:B50)</f>
        <v>0</v>
      </c>
      <c r="C47" s="65">
        <f>SUM(C48:C50)</f>
        <v>0</v>
      </c>
    </row>
    <row r="48" spans="1:3" x14ac:dyDescent="0.25">
      <c r="A48" s="67" t="s">
        <v>299</v>
      </c>
      <c r="B48" s="209"/>
      <c r="C48" s="209"/>
    </row>
    <row r="49" spans="1:3" x14ac:dyDescent="0.25">
      <c r="A49" s="67" t="s">
        <v>300</v>
      </c>
      <c r="B49" s="209"/>
      <c r="C49" s="209"/>
    </row>
    <row r="50" spans="1:3" x14ac:dyDescent="0.25">
      <c r="A50" s="67" t="s">
        <v>301</v>
      </c>
      <c r="B50" s="209"/>
      <c r="C50" s="209"/>
    </row>
    <row r="51" spans="1:3" x14ac:dyDescent="0.25">
      <c r="A51" s="62" t="s">
        <v>282</v>
      </c>
      <c r="B51" s="65">
        <f>B52+B56</f>
        <v>0</v>
      </c>
      <c r="C51" s="65">
        <f>C52+C56</f>
        <v>0</v>
      </c>
    </row>
    <row r="52" spans="1:3" x14ac:dyDescent="0.25">
      <c r="A52" s="67" t="s">
        <v>283</v>
      </c>
      <c r="B52" s="71">
        <f>SUM(B53:B55)</f>
        <v>0</v>
      </c>
      <c r="C52" s="71">
        <f>SUM(C53:C55)</f>
        <v>0</v>
      </c>
    </row>
    <row r="53" spans="1:3" x14ac:dyDescent="0.25">
      <c r="A53" s="68" t="s">
        <v>302</v>
      </c>
      <c r="B53" s="209"/>
      <c r="C53" s="209"/>
    </row>
    <row r="54" spans="1:3" x14ac:dyDescent="0.25">
      <c r="A54" s="68" t="s">
        <v>303</v>
      </c>
      <c r="B54" s="209"/>
      <c r="C54" s="209"/>
    </row>
    <row r="55" spans="1:3" x14ac:dyDescent="0.25">
      <c r="A55" s="68" t="s">
        <v>304</v>
      </c>
      <c r="B55" s="209"/>
      <c r="C55" s="209"/>
    </row>
    <row r="56" spans="1:3" x14ac:dyDescent="0.25">
      <c r="A56" s="67" t="s">
        <v>287</v>
      </c>
      <c r="B56" s="209"/>
      <c r="C56" s="209"/>
    </row>
    <row r="57" spans="1:3" s="2" customFormat="1" x14ac:dyDescent="0.25">
      <c r="A57" s="62" t="s">
        <v>478</v>
      </c>
      <c r="B57" s="208"/>
      <c r="C57" s="208"/>
    </row>
    <row r="58" spans="1:3" x14ac:dyDescent="0.25">
      <c r="A58" s="63" t="s">
        <v>305</v>
      </c>
      <c r="B58" s="42">
        <f>B5-B25</f>
        <v>1668185.59</v>
      </c>
      <c r="C58" s="42">
        <f>C5-C25</f>
        <v>0</v>
      </c>
    </row>
    <row r="59" spans="1:3" x14ac:dyDescent="0.25">
      <c r="A59" s="158" t="s">
        <v>306</v>
      </c>
      <c r="B59" s="160"/>
      <c r="C59" s="156"/>
    </row>
    <row r="60" spans="1:3" x14ac:dyDescent="0.25">
      <c r="A60" s="62" t="s">
        <v>105</v>
      </c>
      <c r="B60" s="65">
        <f>SUM(B61:B63)</f>
        <v>0</v>
      </c>
      <c r="C60" s="65">
        <f>SUM(C61:C63)</f>
        <v>0</v>
      </c>
    </row>
    <row r="61" spans="1:3" x14ac:dyDescent="0.25">
      <c r="A61" s="67" t="s">
        <v>49</v>
      </c>
      <c r="B61" s="209"/>
      <c r="C61" s="209"/>
    </row>
    <row r="62" spans="1:3" x14ac:dyDescent="0.25">
      <c r="A62" s="67" t="s">
        <v>477</v>
      </c>
      <c r="B62" s="209"/>
      <c r="C62" s="209"/>
    </row>
    <row r="63" spans="1:3" x14ac:dyDescent="0.25">
      <c r="A63" s="67" t="s">
        <v>307</v>
      </c>
      <c r="B63" s="209"/>
      <c r="C63" s="209"/>
    </row>
    <row r="64" spans="1:3" x14ac:dyDescent="0.25">
      <c r="A64" s="62" t="s">
        <v>288</v>
      </c>
      <c r="B64" s="65">
        <f>SUM(B65:B68)</f>
        <v>0</v>
      </c>
      <c r="C64" s="65">
        <f>SUM(C65:C68)</f>
        <v>0</v>
      </c>
    </row>
    <row r="65" spans="1:5" x14ac:dyDescent="0.25">
      <c r="A65" s="67" t="s">
        <v>308</v>
      </c>
      <c r="B65" s="209"/>
      <c r="C65" s="209"/>
      <c r="E65" s="80"/>
    </row>
    <row r="66" spans="1:5" x14ac:dyDescent="0.25">
      <c r="A66" s="67" t="s">
        <v>309</v>
      </c>
      <c r="B66" s="209"/>
      <c r="C66" s="209"/>
    </row>
    <row r="67" spans="1:5" x14ac:dyDescent="0.25">
      <c r="A67" s="67" t="s">
        <v>406</v>
      </c>
      <c r="B67" s="209"/>
      <c r="C67" s="209"/>
    </row>
    <row r="68" spans="1:5" x14ac:dyDescent="0.25">
      <c r="A68" s="67" t="s">
        <v>401</v>
      </c>
      <c r="B68" s="209"/>
      <c r="C68" s="209"/>
    </row>
    <row r="69" spans="1:5" x14ac:dyDescent="0.25">
      <c r="A69" s="70" t="s">
        <v>310</v>
      </c>
      <c r="B69" s="66">
        <f>B60-B64</f>
        <v>0</v>
      </c>
      <c r="C69" s="66">
        <f>C60-C64</f>
        <v>0</v>
      </c>
    </row>
    <row r="70" spans="1:5" x14ac:dyDescent="0.25">
      <c r="A70" s="158" t="s">
        <v>311</v>
      </c>
      <c r="B70" s="160"/>
      <c r="C70" s="156"/>
    </row>
    <row r="71" spans="1:5" x14ac:dyDescent="0.25">
      <c r="A71" s="62" t="s">
        <v>105</v>
      </c>
      <c r="B71" s="65">
        <f>B72</f>
        <v>0</v>
      </c>
      <c r="C71" s="65">
        <f>C72</f>
        <v>0</v>
      </c>
    </row>
    <row r="72" spans="1:5" x14ac:dyDescent="0.25">
      <c r="A72" s="67" t="s">
        <v>312</v>
      </c>
      <c r="B72" s="209"/>
      <c r="C72" s="209"/>
    </row>
    <row r="73" spans="1:5" x14ac:dyDescent="0.25">
      <c r="A73" s="62" t="s">
        <v>288</v>
      </c>
      <c r="B73" s="65">
        <f>B74</f>
        <v>0</v>
      </c>
      <c r="C73" s="65">
        <f>C74</f>
        <v>0</v>
      </c>
    </row>
    <row r="74" spans="1:5" x14ac:dyDescent="0.25">
      <c r="A74" s="67" t="s">
        <v>315</v>
      </c>
      <c r="B74" s="209"/>
      <c r="C74" s="209"/>
    </row>
    <row r="75" spans="1:5" x14ac:dyDescent="0.25">
      <c r="A75" s="11" t="s">
        <v>313</v>
      </c>
      <c r="B75" s="42">
        <f>B71-B73</f>
        <v>0</v>
      </c>
      <c r="C75" s="42">
        <f>C71-C73</f>
        <v>0</v>
      </c>
    </row>
    <row r="76" spans="1:5" x14ac:dyDescent="0.25">
      <c r="A76" s="158" t="s">
        <v>314</v>
      </c>
      <c r="B76" s="160"/>
      <c r="C76" s="156"/>
    </row>
    <row r="77" spans="1:5" x14ac:dyDescent="0.25">
      <c r="A77" s="11" t="s">
        <v>316</v>
      </c>
      <c r="B77" s="42">
        <f>B58+B69+B75</f>
        <v>1668185.59</v>
      </c>
      <c r="C77" s="42">
        <f>C58+C69+C75</f>
        <v>0</v>
      </c>
    </row>
    <row r="78" spans="1:5" x14ac:dyDescent="0.25">
      <c r="A78" s="11" t="s">
        <v>317</v>
      </c>
      <c r="B78" s="213"/>
      <c r="C78" s="213"/>
    </row>
    <row r="79" spans="1:5" x14ac:dyDescent="0.25">
      <c r="A79" s="11" t="s">
        <v>318</v>
      </c>
      <c r="B79" s="213"/>
      <c r="C79" s="213"/>
      <c r="D79" s="80"/>
    </row>
    <row r="80" spans="1:5" x14ac:dyDescent="0.25">
      <c r="B80" s="80"/>
    </row>
    <row r="81" spans="1:3" x14ac:dyDescent="0.25">
      <c r="A81" s="179" t="s">
        <v>354</v>
      </c>
      <c r="B81" s="179"/>
      <c r="C81" s="179"/>
    </row>
    <row r="82" spans="1:3" x14ac:dyDescent="0.25">
      <c r="A82" s="178" t="s">
        <v>337</v>
      </c>
      <c r="B82" s="178"/>
      <c r="C82" s="2" t="s">
        <v>338</v>
      </c>
    </row>
    <row r="83" spans="1:3" ht="67.5" customHeight="1" x14ac:dyDescent="0.25">
      <c r="A83" s="161" t="s">
        <v>371</v>
      </c>
      <c r="B83" s="161"/>
      <c r="C83" s="88" t="e">
        <f>B58/DVP!B93</f>
        <v>#DIV/0!</v>
      </c>
    </row>
    <row r="84" spans="1:3" ht="46.5" customHeight="1" x14ac:dyDescent="0.25">
      <c r="A84" s="161" t="s">
        <v>372</v>
      </c>
      <c r="B84" s="161"/>
      <c r="C84" s="88" t="e">
        <f>B58/(BP!E5+BP!E19)</f>
        <v>#DIV/0!</v>
      </c>
    </row>
    <row r="85" spans="1:3" ht="46.5" customHeight="1" x14ac:dyDescent="0.25">
      <c r="A85" s="161" t="s">
        <v>373</v>
      </c>
      <c r="B85" s="161"/>
      <c r="C85" s="88">
        <f>B58/B77</f>
        <v>1</v>
      </c>
    </row>
  </sheetData>
  <sheetProtection sheet="1" objects="1" scenarios="1"/>
  <mergeCells count="11">
    <mergeCell ref="A81:C81"/>
    <mergeCell ref="A82:B82"/>
    <mergeCell ref="A83:B83"/>
    <mergeCell ref="A84:B84"/>
    <mergeCell ref="A85:B85"/>
    <mergeCell ref="A76:C76"/>
    <mergeCell ref="A70:C70"/>
    <mergeCell ref="A4:C4"/>
    <mergeCell ref="A59:C59"/>
    <mergeCell ref="A1:C1"/>
    <mergeCell ref="B2:C2"/>
  </mergeCells>
  <printOptions horizontalCentered="1"/>
  <pageMargins left="0.39370078740157483" right="0.39370078740157483" top="1.1811023622047245" bottom="1.5748031496062993" header="0.39370078740157483" footer="0.39370078740157483"/>
  <pageSetup paperSize="9" scale="71" fitToHeight="0" orientation="portrait" r:id="rId1"/>
  <headerFooter>
    <oddHeader>&amp;C&amp;14MUNICÍPIO DE INDEPENDÊNCIA/RS
CNPJ nº 87.612.826/0001-90&amp;RCONSOLIDADO</oddHeader>
    <oddFooter>&amp;LEVERTON DA ROSA
Contador
CRC nº RS-076595/O-3
CPF nº 962.670.200-10&amp;CGILBERTO MARASCA
Prefeito Municipal
CPF nº 262.370.670-00&amp;RJAIR AZILDO MASSUDA GRENZEL
Secretário da Fazenda
CPF nº 499.073.440-87</oddFooter>
  </headerFooter>
  <rowBreaks count="1" manualBreakCount="1">
    <brk id="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tabSelected="1" workbookViewId="0">
      <selection activeCell="F7" sqref="F7:F8"/>
    </sheetView>
  </sheetViews>
  <sheetFormatPr defaultRowHeight="15" x14ac:dyDescent="0.25"/>
  <cols>
    <col min="1" max="1" width="84" bestFit="1" customWidth="1"/>
    <col min="2" max="2" width="12.7109375" style="80" bestFit="1" customWidth="1"/>
    <col min="3" max="3" width="54.7109375" bestFit="1" customWidth="1"/>
    <col min="4" max="4" width="12.7109375" style="80" bestFit="1" customWidth="1"/>
    <col min="5" max="5" width="12.42578125" style="80" bestFit="1" customWidth="1"/>
  </cols>
  <sheetData>
    <row r="1" spans="1:5" x14ac:dyDescent="0.25">
      <c r="A1" s="162" t="s">
        <v>374</v>
      </c>
      <c r="B1" s="162"/>
      <c r="C1" s="162"/>
      <c r="D1" s="162"/>
      <c r="E1" s="162"/>
    </row>
    <row r="2" spans="1:5" x14ac:dyDescent="0.25">
      <c r="A2" s="180" t="s">
        <v>380</v>
      </c>
      <c r="B2" s="180"/>
      <c r="C2" s="180"/>
      <c r="D2" s="180"/>
      <c r="E2" s="180"/>
    </row>
    <row r="3" spans="1:5" x14ac:dyDescent="0.25">
      <c r="A3" s="95" t="s">
        <v>376</v>
      </c>
      <c r="B3" s="84" t="s">
        <v>377</v>
      </c>
      <c r="C3" s="84" t="s">
        <v>378</v>
      </c>
      <c r="D3" s="84" t="s">
        <v>379</v>
      </c>
      <c r="E3" s="85" t="s">
        <v>375</v>
      </c>
    </row>
    <row r="4" spans="1:5" x14ac:dyDescent="0.25">
      <c r="A4" s="96" t="s">
        <v>451</v>
      </c>
      <c r="B4" s="71">
        <f>'BO-DESP'!B82-'BO-DESP'!E82</f>
        <v>0</v>
      </c>
      <c r="C4" s="97" t="s">
        <v>381</v>
      </c>
      <c r="D4" s="71">
        <f>'BO-DESP'!C24-'BO-DESP'!B24</f>
        <v>0</v>
      </c>
      <c r="E4" s="98">
        <f>B4-D4</f>
        <v>0</v>
      </c>
    </row>
    <row r="5" spans="1:5" x14ac:dyDescent="0.25">
      <c r="A5" s="96" t="s">
        <v>382</v>
      </c>
      <c r="B5" s="71">
        <f>'BO-DESP'!C82</f>
        <v>0</v>
      </c>
      <c r="C5" s="71" t="s">
        <v>383</v>
      </c>
      <c r="D5" s="71">
        <f>'BO-REC'!D77</f>
        <v>0</v>
      </c>
      <c r="E5" s="98">
        <f>B5-D5</f>
        <v>0</v>
      </c>
    </row>
    <row r="6" spans="1:5" x14ac:dyDescent="0.25">
      <c r="A6" s="96" t="s">
        <v>384</v>
      </c>
      <c r="B6" s="71">
        <f>'BO-DESP'!G82</f>
        <v>0</v>
      </c>
      <c r="C6" s="71" t="s">
        <v>385</v>
      </c>
      <c r="D6" s="71">
        <f>'BO-REC'!D78</f>
        <v>0</v>
      </c>
      <c r="E6" s="98">
        <f>B6-D6</f>
        <v>0</v>
      </c>
    </row>
    <row r="7" spans="1:5" x14ac:dyDescent="0.25">
      <c r="A7" s="96" t="s">
        <v>388</v>
      </c>
      <c r="B7" s="71">
        <f>'BO-REC'!D73</f>
        <v>0</v>
      </c>
      <c r="C7" s="97" t="s">
        <v>386</v>
      </c>
      <c r="D7" s="71">
        <f>BF!B5</f>
        <v>0</v>
      </c>
      <c r="E7" s="98">
        <f t="shared" ref="E7:E16" si="0">B7-D7</f>
        <v>0</v>
      </c>
    </row>
    <row r="8" spans="1:5" x14ac:dyDescent="0.25">
      <c r="A8" s="96" t="s">
        <v>389</v>
      </c>
      <c r="B8" s="71">
        <f>'BO-DESP'!F24</f>
        <v>0</v>
      </c>
      <c r="C8" s="97" t="s">
        <v>387</v>
      </c>
      <c r="D8" s="71">
        <f>BF!E5</f>
        <v>0</v>
      </c>
      <c r="E8" s="98">
        <f t="shared" si="0"/>
        <v>0</v>
      </c>
    </row>
    <row r="9" spans="1:5" x14ac:dyDescent="0.25">
      <c r="A9" s="96" t="s">
        <v>390</v>
      </c>
      <c r="B9" s="71">
        <f>BF!B16</f>
        <v>0</v>
      </c>
      <c r="C9" s="97" t="s">
        <v>391</v>
      </c>
      <c r="D9" s="71">
        <f>DFC!B78</f>
        <v>0</v>
      </c>
      <c r="E9" s="98">
        <f t="shared" si="0"/>
        <v>0</v>
      </c>
    </row>
    <row r="10" spans="1:5" x14ac:dyDescent="0.25">
      <c r="A10" s="96" t="s">
        <v>392</v>
      </c>
      <c r="B10" s="71">
        <f>BF!E16</f>
        <v>0</v>
      </c>
      <c r="C10" s="97" t="s">
        <v>393</v>
      </c>
      <c r="D10" s="71">
        <f>DFC!B79</f>
        <v>0</v>
      </c>
      <c r="E10" s="98">
        <f t="shared" si="0"/>
        <v>0</v>
      </c>
    </row>
    <row r="11" spans="1:5" x14ac:dyDescent="0.25">
      <c r="A11" s="96" t="s">
        <v>392</v>
      </c>
      <c r="B11" s="71">
        <f>BF!E16</f>
        <v>0</v>
      </c>
      <c r="C11" s="97" t="s">
        <v>402</v>
      </c>
      <c r="D11" s="71">
        <f>BP!B6+BP!B16</f>
        <v>0</v>
      </c>
      <c r="E11" s="98">
        <f t="shared" si="0"/>
        <v>0</v>
      </c>
    </row>
    <row r="12" spans="1:5" x14ac:dyDescent="0.25">
      <c r="A12" s="96" t="s">
        <v>394</v>
      </c>
      <c r="B12" s="71">
        <f>BF!C31</f>
        <v>0</v>
      </c>
      <c r="C12" s="97" t="s">
        <v>395</v>
      </c>
      <c r="D12" s="71">
        <f>BF!B15</f>
        <v>0</v>
      </c>
      <c r="E12" s="98">
        <f t="shared" si="0"/>
        <v>0</v>
      </c>
    </row>
    <row r="13" spans="1:5" x14ac:dyDescent="0.25">
      <c r="A13" s="96" t="s">
        <v>396</v>
      </c>
      <c r="B13" s="71">
        <f>BF!F31</f>
        <v>0</v>
      </c>
      <c r="C13" s="97" t="s">
        <v>397</v>
      </c>
      <c r="D13" s="71">
        <f>BF!E15</f>
        <v>0</v>
      </c>
      <c r="E13" s="98">
        <f t="shared" si="0"/>
        <v>0</v>
      </c>
    </row>
    <row r="14" spans="1:5" x14ac:dyDescent="0.25">
      <c r="A14" s="96" t="s">
        <v>398</v>
      </c>
      <c r="B14" s="71">
        <f>DVP!B93</f>
        <v>0</v>
      </c>
      <c r="C14" s="97" t="s">
        <v>399</v>
      </c>
      <c r="D14" s="71">
        <f>BP!E38</f>
        <v>0</v>
      </c>
      <c r="E14" s="98">
        <f t="shared" si="0"/>
        <v>0</v>
      </c>
    </row>
    <row r="15" spans="1:5" x14ac:dyDescent="0.25">
      <c r="A15" s="96" t="s">
        <v>402</v>
      </c>
      <c r="B15" s="71">
        <f>BP!B6+BP!B16</f>
        <v>0</v>
      </c>
      <c r="C15" s="97" t="s">
        <v>393</v>
      </c>
      <c r="D15" s="71">
        <f>DFC!B79</f>
        <v>0</v>
      </c>
      <c r="E15" s="98">
        <f t="shared" si="0"/>
        <v>0</v>
      </c>
    </row>
    <row r="16" spans="1:5" x14ac:dyDescent="0.25">
      <c r="A16" s="96" t="s">
        <v>400</v>
      </c>
      <c r="B16" s="71">
        <f>BP!F97</f>
        <v>0</v>
      </c>
      <c r="C16" s="97" t="s">
        <v>480</v>
      </c>
      <c r="D16" s="71">
        <f>BP!B47-BP!E47</f>
        <v>0</v>
      </c>
      <c r="E16" s="98">
        <f t="shared" si="0"/>
        <v>0</v>
      </c>
    </row>
  </sheetData>
  <sheetProtection sheet="1" objects="1" scenarios="1"/>
  <mergeCells count="2">
    <mergeCell ref="A1:E1"/>
    <mergeCell ref="A2:E2"/>
  </mergeCells>
  <printOptions horizontalCentered="1"/>
  <pageMargins left="0.39370078740157483" right="0.39370078740157483" top="1.1811023622047245" bottom="1.5748031496062993" header="0.39370078740157483" footer="0.39370078740157483"/>
  <pageSetup paperSize="9" scale="56" fitToHeight="0" orientation="portrait" r:id="rId1"/>
  <headerFooter>
    <oddHeader>&amp;C&amp;14MUNICÍPIO DE INDEPENDÊNCIA/RS
CNPJ nº 87.612.826/0001-90&amp;RCONSOLIDADO</oddHeader>
    <oddFooter>&amp;LEVERTON DA ROSA
Contador
CRC nº RS-076595/O-3
CPF nº 962.670.200-10&amp;CGILBERTO MARASCA
Prefeito Municipal
CPF nº 262.370.670-00&amp;RJAIR AZILDO MASSUDA GRENZEL
Secretário da Fazenda
CPF nº 499.073.440-87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BO-REC</vt:lpstr>
      <vt:lpstr>BO-DESP</vt:lpstr>
      <vt:lpstr>BF</vt:lpstr>
      <vt:lpstr>DVP</vt:lpstr>
      <vt:lpstr>BP</vt:lpstr>
      <vt:lpstr>DFC</vt:lpstr>
      <vt:lpstr>Validação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</dc:creator>
  <cp:lastModifiedBy>Everton</cp:lastModifiedBy>
  <cp:lastPrinted>2014-03-10T18:41:19Z</cp:lastPrinted>
  <dcterms:created xsi:type="dcterms:W3CDTF">2013-06-24T11:34:33Z</dcterms:created>
  <dcterms:modified xsi:type="dcterms:W3CDTF">2016-03-31T16:53:47Z</dcterms:modified>
</cp:coreProperties>
</file>