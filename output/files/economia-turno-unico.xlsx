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vmlDrawing1.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9" firstSheet="0" activeTab="0"/>
  </bookViews>
  <sheets>
    <sheet name="Resumo" sheetId="1" state="visible" r:id="rId2"/>
    <sheet name="Despesas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/>
  </authors>
  <commentList>
    <comment ref="C1" authorId="0">
      <text>
        <r>
          <rPr>
            <sz val="10"/>
            <rFont val="Arial"/>
            <family val="2"/>
          </rPr>
          <t xml:space="preserve">Deflação do período de fim até 1º/11/2010</t>
        </r>
      </text>
    </comment>
  </commentList>
</comments>
</file>

<file path=xl/sharedStrings.xml><?xml version="1.0" encoding="utf-8"?>
<sst xmlns="http://schemas.openxmlformats.org/spreadsheetml/2006/main" count="43" uniqueCount="33">
  <si>
    <t xml:space="preserve">Período</t>
  </si>
  <si>
    <t xml:space="preserve">Despesa Liquidada</t>
  </si>
  <si>
    <t xml:space="preserve">Despesa Ajustada</t>
  </si>
  <si>
    <t xml:space="preserve">Início</t>
  </si>
  <si>
    <t xml:space="preserve">Fim</t>
  </si>
  <si>
    <t xml:space="preserve">Turno Único</t>
  </si>
  <si>
    <t xml:space="preserve">2010-2011</t>
  </si>
  <si>
    <t xml:space="preserve">Não</t>
  </si>
  <si>
    <t xml:space="preserve">2011-2012</t>
  </si>
  <si>
    <t xml:space="preserve">2012-2013</t>
  </si>
  <si>
    <t xml:space="preserve">2013-2014</t>
  </si>
  <si>
    <t xml:space="preserve">Sim</t>
  </si>
  <si>
    <t xml:space="preserve">2014-2015</t>
  </si>
  <si>
    <t xml:space="preserve">2015-2016</t>
  </si>
  <si>
    <t xml:space="preserve">Média Sem Turno Único</t>
  </si>
  <si>
    <t xml:space="preserve">Média Com Turno Único</t>
  </si>
  <si>
    <t xml:space="preserve">Resultado</t>
  </si>
  <si>
    <t xml:space="preserve">Despesas Correntes</t>
  </si>
  <si>
    <t xml:space="preserve">(-) Pessoal e Encargos</t>
  </si>
  <si>
    <t xml:space="preserve">(+) Outras Despesas Variáveis</t>
  </si>
  <si>
    <t xml:space="preserve">(-) Juros e Encargos da Dívida</t>
  </si>
  <si>
    <t xml:space="preserve">(-) Transferências a Instituições Privadas</t>
  </si>
  <si>
    <t xml:space="preserve">(-) Transferências a Consórcios Públicos – Outras</t>
  </si>
  <si>
    <t xml:space="preserve">(-) Diárias</t>
  </si>
  <si>
    <t xml:space="preserve">(-) Premiações</t>
  </si>
  <si>
    <t xml:space="preserve">(-) Passagens e Despesas com Locomoção</t>
  </si>
  <si>
    <t xml:space="preserve">(-) Serviços de Consultoria</t>
  </si>
  <si>
    <t xml:space="preserve">(-) Auxílio-Alimentação</t>
  </si>
  <si>
    <t xml:space="preserve">(-) Obrigações Tributárias e Contributivas</t>
  </si>
  <si>
    <t xml:space="preserve">(-) Despesas de Exercícios Anteriores</t>
  </si>
  <si>
    <t xml:space="preserve">(-) Sentenças Judiciais</t>
  </si>
  <si>
    <t xml:space="preserve">(-) Indenizações</t>
  </si>
  <si>
    <t xml:space="preserve">(=) Total Líquido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</si>
</sst>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DD/MM/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F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RowHeight="12.8"/>
  <cols>
    <col collapsed="false" hidden="false" max="1" min="1" style="0" width="20.7448979591837"/>
    <col collapsed="false" hidden="false" max="2" min="2" style="0" width="16.8571428571429"/>
    <col collapsed="false" hidden="false" max="3" min="3" style="0" width="16.1530612244898"/>
    <col collapsed="false" hidden="false" max="1025" min="4" style="0" width="11.52040816326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1" t="s">
        <v>6</v>
      </c>
      <c r="B2" s="2" t="n">
        <f aca="false">Despesas!B17</f>
        <v>1054446.02</v>
      </c>
      <c r="C2" s="2" t="n">
        <v>1022775.7</v>
      </c>
      <c r="D2" s="3" t="n">
        <v>40483</v>
      </c>
      <c r="E2" s="3" t="n">
        <v>40602</v>
      </c>
      <c r="F2" s="1" t="s">
        <v>7</v>
      </c>
    </row>
    <row r="3" customFormat="false" ht="12.8" hidden="false" customHeight="false" outlineLevel="0" collapsed="false">
      <c r="A3" s="1" t="s">
        <v>8</v>
      </c>
      <c r="B3" s="2" t="n">
        <f aca="false">Despesas!C17</f>
        <v>1191583.27</v>
      </c>
      <c r="C3" s="2" t="n">
        <v>1091953.5</v>
      </c>
      <c r="D3" s="3" t="n">
        <v>40848</v>
      </c>
      <c r="E3" s="3" t="n">
        <v>40968</v>
      </c>
      <c r="F3" s="1" t="s">
        <v>7</v>
      </c>
    </row>
    <row r="4" customFormat="false" ht="12.8" hidden="false" customHeight="false" outlineLevel="0" collapsed="false">
      <c r="A4" s="1" t="s">
        <v>9</v>
      </c>
      <c r="B4" s="2" t="n">
        <f aca="false">Despesas!D17</f>
        <v>932674.24</v>
      </c>
      <c r="C4" s="2" t="n">
        <v>803863.55</v>
      </c>
      <c r="D4" s="3" t="n">
        <v>41214</v>
      </c>
      <c r="E4" s="3" t="n">
        <v>41333</v>
      </c>
      <c r="F4" s="1" t="s">
        <v>7</v>
      </c>
    </row>
    <row r="5" customFormat="false" ht="12.8" hidden="false" customHeight="false" outlineLevel="0" collapsed="false">
      <c r="A5" s="1" t="s">
        <v>10</v>
      </c>
      <c r="B5" s="2" t="n">
        <f aca="false">Despesas!E17</f>
        <v>1106022.64</v>
      </c>
      <c r="C5" s="2" t="n">
        <v>902066.28</v>
      </c>
      <c r="D5" s="3" t="n">
        <v>41579</v>
      </c>
      <c r="E5" s="3" t="n">
        <v>41698</v>
      </c>
      <c r="F5" s="1" t="s">
        <v>11</v>
      </c>
    </row>
    <row r="6" customFormat="false" ht="12.8" hidden="false" customHeight="false" outlineLevel="0" collapsed="false">
      <c r="A6" s="1" t="s">
        <v>12</v>
      </c>
      <c r="B6" s="2" t="n">
        <f aca="false">Despesas!F17</f>
        <v>1448936.54</v>
      </c>
      <c r="C6" s="2" t="n">
        <v>1097444.22</v>
      </c>
      <c r="D6" s="3" t="n">
        <v>41944</v>
      </c>
      <c r="E6" s="3" t="n">
        <v>42063</v>
      </c>
      <c r="F6" s="1" t="s">
        <v>11</v>
      </c>
    </row>
    <row r="7" customFormat="false" ht="12.8" hidden="false" customHeight="false" outlineLevel="0" collapsed="false">
      <c r="A7" s="1" t="s">
        <v>13</v>
      </c>
      <c r="B7" s="2" t="n">
        <f aca="false">Despesas!G17</f>
        <v>1328699.75</v>
      </c>
      <c r="C7" s="2" t="n">
        <v>911819.54</v>
      </c>
      <c r="D7" s="3" t="n">
        <v>42309</v>
      </c>
      <c r="E7" s="3" t="n">
        <v>42429</v>
      </c>
      <c r="F7" s="3" t="s">
        <v>11</v>
      </c>
    </row>
    <row r="9" customFormat="false" ht="12.8" hidden="false" customHeight="false" outlineLevel="0" collapsed="false">
      <c r="A9" s="1" t="s">
        <v>14</v>
      </c>
      <c r="B9" s="2" t="n">
        <f aca="false">SUMIF($F$2:$F$7,"Não",$C$2:$C$7)/COUNTIF($F$2:$F$7,"Não")</f>
        <v>983421.023333333</v>
      </c>
    </row>
    <row r="10" customFormat="false" ht="12.8" hidden="false" customHeight="false" outlineLevel="0" collapsed="false">
      <c r="A10" s="1" t="s">
        <v>15</v>
      </c>
      <c r="B10" s="2" t="n">
        <f aca="false">SUMIF($F$2:$F$7,"Sim",$C$2:$C$7)/COUNTIF($F$2:$F$7,"Sim")</f>
        <v>970443.346666667</v>
      </c>
    </row>
    <row r="11" customFormat="false" ht="12.8" hidden="false" customHeight="false" outlineLevel="0" collapsed="false">
      <c r="A11" s="1" t="s">
        <v>16</v>
      </c>
      <c r="B11" s="2" t="n">
        <f aca="false">B10-B9</f>
        <v>-12977.6766666664</v>
      </c>
      <c r="C11" s="0" t="str">
        <f aca="false">IF(B11&lt;0,"Economia","")</f>
        <v>Economia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&amp;C&amp;A</oddHeader>
    <oddFooter>&amp;CPágina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G1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RowHeight="12.8"/>
  <cols>
    <col collapsed="false" hidden="false" max="1" min="1" style="0" width="42.6938775510204"/>
    <col collapsed="false" hidden="false" max="1025" min="2" style="0" width="11.5204081632653"/>
  </cols>
  <sheetData>
    <row r="1" customFormat="false" ht="12.8" hidden="false" customHeight="false" outlineLevel="0" collapsed="false">
      <c r="B1" s="0" t="s">
        <v>6</v>
      </c>
      <c r="C1" s="0" t="s">
        <v>8</v>
      </c>
      <c r="D1" s="0" t="s">
        <v>9</v>
      </c>
      <c r="E1" s="0" t="s">
        <v>10</v>
      </c>
      <c r="F1" s="0" t="s">
        <v>12</v>
      </c>
      <c r="G1" s="0" t="s">
        <v>13</v>
      </c>
    </row>
    <row r="2" customFormat="false" ht="12.8" hidden="false" customHeight="false" outlineLevel="0" collapsed="false">
      <c r="A2" s="0" t="s">
        <v>17</v>
      </c>
      <c r="B2" s="4" t="n">
        <f aca="false">2174331.17+1261877.47</f>
        <v>3436208.64</v>
      </c>
      <c r="C2" s="4" t="n">
        <f aca="false">2312686.16+1541463.83</f>
        <v>3854149.99</v>
      </c>
      <c r="D2" s="4" t="n">
        <f aca="false">2374216.58+1548487.97</f>
        <v>3922704.55</v>
      </c>
      <c r="E2" s="4" t="n">
        <f aca="false">2814785.95+1656497.1</f>
        <v>4471283.05</v>
      </c>
      <c r="F2" s="4" t="n">
        <f aca="false">3303601.99+1869959.13</f>
        <v>5173561.12</v>
      </c>
      <c r="G2" s="4" t="n">
        <f aca="false">3270610.46+2014324.33</f>
        <v>5284934.79</v>
      </c>
    </row>
    <row r="3" customFormat="false" ht="12.8" hidden="false" customHeight="false" outlineLevel="0" collapsed="false">
      <c r="A3" s="0" t="s">
        <v>18</v>
      </c>
      <c r="B3" s="4" t="n">
        <f aca="false">1142237.38+851298.21</f>
        <v>1993535.59</v>
      </c>
      <c r="C3" s="4" t="n">
        <f aca="false">1384942.07+1118634.86</f>
        <v>2503576.93</v>
      </c>
      <c r="D3" s="4" t="n">
        <f aca="false">1588324.1+1217311.21</f>
        <v>2805635.31</v>
      </c>
      <c r="E3" s="4" t="n">
        <f aca="false">1810492.51+1396702.78</f>
        <v>3207195.29</v>
      </c>
      <c r="F3" s="4" t="n">
        <f aca="false">1978674.82+1520433.22</f>
        <v>3499108.04</v>
      </c>
      <c r="G3" s="4" t="n">
        <f aca="false">2041945.27+1599601.44</f>
        <v>3641546.71</v>
      </c>
    </row>
    <row r="4" customFormat="false" ht="12.8" hidden="false" customHeight="false" outlineLevel="0" collapsed="false">
      <c r="A4" s="0" t="s">
        <v>19</v>
      </c>
      <c r="B4" s="4" t="n">
        <f aca="false">38632.72+26083.16</f>
        <v>64715.88</v>
      </c>
      <c r="C4" s="4" t="n">
        <f aca="false">33043.77+30210.48</f>
        <v>63254.25</v>
      </c>
      <c r="D4" s="4" t="n">
        <f aca="false">39023.5+28474.82</f>
        <v>67498.32</v>
      </c>
      <c r="E4" s="4" t="n">
        <f aca="false">38243.24+38703.01</f>
        <v>76946.25</v>
      </c>
      <c r="F4" s="4" t="n">
        <f aca="false">37812.48+26943.91</f>
        <v>64756.39</v>
      </c>
      <c r="G4" s="4" t="n">
        <f aca="false">5552.71+12299.06</f>
        <v>17851.77</v>
      </c>
    </row>
    <row r="5" customFormat="false" ht="12.8" hidden="false" customHeight="false" outlineLevel="0" collapsed="false">
      <c r="A5" s="0" t="s">
        <v>20</v>
      </c>
      <c r="B5" s="4" t="n">
        <f aca="false">5110.24+6021.36</f>
        <v>11131.6</v>
      </c>
      <c r="C5" s="4" t="n">
        <f aca="false">2708.67+2667.11</f>
        <v>5375.78</v>
      </c>
      <c r="D5" s="4" t="n">
        <f aca="false">1708.81+1405.17</f>
        <v>3113.98</v>
      </c>
      <c r="E5" s="4" t="n">
        <f aca="false">623.94+265.17</f>
        <v>889.11</v>
      </c>
      <c r="F5" s="4"/>
      <c r="G5" s="4"/>
    </row>
    <row r="6" customFormat="false" ht="12.8" hidden="false" customHeight="false" outlineLevel="0" collapsed="false">
      <c r="A6" s="0" t="s">
        <v>21</v>
      </c>
      <c r="B6" s="4" t="n">
        <f aca="false">18919.38+8000</f>
        <v>26919.38</v>
      </c>
      <c r="C6" s="4" t="n">
        <f aca="false">8516.8</f>
        <v>8516.8</v>
      </c>
      <c r="D6" s="4" t="n">
        <f aca="false">33000</f>
        <v>33000</v>
      </c>
      <c r="E6" s="4" t="n">
        <f aca="false">35454.56</f>
        <v>35454.56</v>
      </c>
      <c r="F6" s="4" t="n">
        <f aca="false">23636.36</f>
        <v>23636.36</v>
      </c>
      <c r="G6" s="4" t="n">
        <f aca="false">29177.2+12000</f>
        <v>41177.2</v>
      </c>
    </row>
    <row r="7" customFormat="false" ht="12.8" hidden="false" customHeight="false" outlineLevel="0" collapsed="false">
      <c r="A7" s="0" t="s">
        <v>22</v>
      </c>
      <c r="B7" s="4" t="n">
        <f aca="false">59238.29+47844.88-257.94-26356.77-31755.94-134.76-26077.32-16973.24</f>
        <v>5527.19999999999</v>
      </c>
      <c r="C7" s="4" t="n">
        <f aca="false">54524.93+54483.04-404.28-17608.59-35236.02-114.42-51531.9-457.38</f>
        <v>3655.38000000001</v>
      </c>
      <c r="D7" s="4" t="n">
        <f aca="false">25393.34+3358.56</f>
        <v>28751.9</v>
      </c>
      <c r="E7" s="4" t="n">
        <f aca="false">8331.3+2722.41</f>
        <v>11053.71</v>
      </c>
      <c r="F7" s="4" t="n">
        <f aca="false">32379.06+13938.52</f>
        <v>46317.58</v>
      </c>
      <c r="G7" s="4" t="n">
        <f aca="false">27902.36+3732.5</f>
        <v>31634.86</v>
      </c>
    </row>
    <row r="8" customFormat="false" ht="12.8" hidden="false" customHeight="false" outlineLevel="0" collapsed="false">
      <c r="A8" s="0" t="s">
        <v>23</v>
      </c>
      <c r="B8" s="4" t="n">
        <f aca="false">24517.14+25518.49</f>
        <v>50035.63</v>
      </c>
      <c r="C8" s="4" t="n">
        <f aca="false">24812.09+31308.56</f>
        <v>56120.65</v>
      </c>
      <c r="D8" s="4" t="n">
        <f aca="false">19882.18+15909.95</f>
        <v>35792.13</v>
      </c>
      <c r="E8" s="4" t="n">
        <f aca="false">12540.3+18788.76</f>
        <v>31329.06</v>
      </c>
      <c r="F8" s="4" t="n">
        <f aca="false">18130.4+9979.19</f>
        <v>28109.59</v>
      </c>
      <c r="G8" s="4" t="n">
        <f aca="false">13184.21+10959.91</f>
        <v>24144.12</v>
      </c>
    </row>
    <row r="9" customFormat="false" ht="12.8" hidden="false" customHeight="false" outlineLevel="0" collapsed="false">
      <c r="A9" s="0" t="s">
        <v>24</v>
      </c>
      <c r="B9" s="4" t="n">
        <f aca="false">4950</f>
        <v>4950</v>
      </c>
      <c r="C9" s="4" t="n">
        <f aca="false">4950</f>
        <v>4950</v>
      </c>
      <c r="D9" s="4" t="n">
        <f aca="false">3599.96</f>
        <v>3599.96</v>
      </c>
      <c r="E9" s="4" t="n">
        <f aca="false">1292</f>
        <v>1292</v>
      </c>
      <c r="F9" s="4" t="n">
        <f aca="false">3093.8</f>
        <v>3093.8</v>
      </c>
      <c r="G9" s="4"/>
    </row>
    <row r="10" customFormat="false" ht="12.8" hidden="false" customHeight="false" outlineLevel="0" collapsed="false">
      <c r="A10" s="0" t="s">
        <v>25</v>
      </c>
      <c r="B10" s="4" t="n">
        <f aca="false">6233.7+5297</f>
        <v>11530.7</v>
      </c>
      <c r="C10" s="4" t="n">
        <f aca="false">15694.05+4955.6</f>
        <v>20649.65</v>
      </c>
      <c r="D10" s="4" t="n">
        <f aca="false">712.51+14350.45</f>
        <v>15062.96</v>
      </c>
      <c r="E10" s="4" t="n">
        <f aca="false">1080.49+13088.55</f>
        <v>14169.04</v>
      </c>
      <c r="F10" s="4" t="n">
        <f aca="false">5114.87+8375.45</f>
        <v>13490.32</v>
      </c>
      <c r="G10" s="4" t="n">
        <f aca="false">-2092.13+23823.3</f>
        <v>21731.17</v>
      </c>
    </row>
    <row r="11" customFormat="false" ht="12.8" hidden="false" customHeight="false" outlineLevel="0" collapsed="false">
      <c r="A11" s="0" t="s">
        <v>26</v>
      </c>
      <c r="B11" s="4" t="n">
        <f aca="false">3110.02+2122.9</f>
        <v>5232.92</v>
      </c>
      <c r="C11" s="4" t="n">
        <f aca="false">2336.43</f>
        <v>2336.43</v>
      </c>
      <c r="D11" s="4"/>
      <c r="E11" s="4"/>
      <c r="F11" s="4" t="n">
        <f aca="false">5367.71</f>
        <v>5367.71</v>
      </c>
      <c r="G11" s="4" t="n">
        <f aca="false">15792.41+6982.08</f>
        <v>22774.49</v>
      </c>
    </row>
    <row r="12" customFormat="false" ht="12.8" hidden="false" customHeight="false" outlineLevel="0" collapsed="false">
      <c r="A12" s="0" t="s">
        <v>27</v>
      </c>
      <c r="B12" s="4" t="n">
        <f aca="false">45491.02+12971</f>
        <v>58462.02</v>
      </c>
      <c r="C12" s="4" t="n">
        <f aca="false">52112.92+11761.25</f>
        <v>63874.17</v>
      </c>
      <c r="D12" s="4" t="n">
        <f aca="false">57436.68+19093</f>
        <v>76529.68</v>
      </c>
      <c r="E12" s="4" t="n">
        <f aca="false">69560.7</f>
        <v>69560.7</v>
      </c>
      <c r="F12" s="4" t="n">
        <f aca="false">63140</f>
        <v>63140</v>
      </c>
      <c r="G12" s="4" t="n">
        <f aca="false">72450+56839.42</f>
        <v>129289.42</v>
      </c>
    </row>
    <row r="13" customFormat="false" ht="12.8" hidden="false" customHeight="false" outlineLevel="0" collapsed="false">
      <c r="A13" s="0" t="s">
        <v>28</v>
      </c>
      <c r="B13" s="4" t="n">
        <f aca="false">27750.77+13446.38</f>
        <v>41197.15</v>
      </c>
      <c r="C13" s="4" t="n">
        <f aca="false">32399.93+18196.32</f>
        <v>50596.25</v>
      </c>
      <c r="D13" s="4" t="n">
        <f aca="false">32883.98+19988.2</f>
        <v>52872.18</v>
      </c>
      <c r="E13" s="4" t="n">
        <f aca="false">39546.35+23214.87</f>
        <v>62761.22</v>
      </c>
      <c r="F13" s="4" t="n">
        <f aca="false">41862.2+23761.64</f>
        <v>65623.84</v>
      </c>
      <c r="G13" s="4" t="n">
        <f aca="false">31160.27+22539.09</f>
        <v>53699.36</v>
      </c>
    </row>
    <row r="14" customFormat="false" ht="12.8" hidden="false" customHeight="false" outlineLevel="0" collapsed="false">
      <c r="A14" s="0" t="s">
        <v>29</v>
      </c>
      <c r="B14" s="4"/>
      <c r="C14" s="4"/>
      <c r="D14" s="4"/>
      <c r="E14" s="4" t="n">
        <f aca="false">1687</f>
        <v>1687</v>
      </c>
      <c r="F14" s="4" t="n">
        <f aca="false">40807.5</f>
        <v>40807.5</v>
      </c>
      <c r="G14" s="4"/>
    </row>
    <row r="15" customFormat="false" ht="12.8" hidden="false" customHeight="false" outlineLevel="0" collapsed="false">
      <c r="A15" s="0" t="s">
        <v>30</v>
      </c>
      <c r="B15" s="4" t="n">
        <f aca="false">236487.51</f>
        <v>236487.51</v>
      </c>
      <c r="C15" s="4"/>
      <c r="D15" s="4"/>
      <c r="E15" s="4" t="n">
        <f aca="false">5491.72</f>
        <v>5491.72</v>
      </c>
      <c r="F15" s="4"/>
      <c r="G15" s="4"/>
    </row>
    <row r="16" customFormat="false" ht="12.8" hidden="false" customHeight="false" outlineLevel="0" collapsed="false">
      <c r="A16" s="0" t="s">
        <v>31</v>
      </c>
      <c r="B16" s="4" t="n">
        <f aca="false">962+506.8</f>
        <v>1468.8</v>
      </c>
      <c r="C16" s="4" t="n">
        <f aca="false">3482.2+2686.73</f>
        <v>6168.93</v>
      </c>
      <c r="D16" s="4" t="n">
        <f aca="false">2473.78+696.75</f>
        <v>3170.53</v>
      </c>
      <c r="E16" s="4" t="n">
        <f aca="false">1199.25+124</f>
        <v>1323.25</v>
      </c>
      <c r="F16" s="4" t="n">
        <f aca="false">512.58+173.65</f>
        <v>686.23</v>
      </c>
      <c r="G16" s="4" t="n">
        <f aca="false">6544.48+1545</f>
        <v>8089.48</v>
      </c>
    </row>
    <row r="17" customFormat="false" ht="12.8" hidden="false" customHeight="false" outlineLevel="0" collapsed="false">
      <c r="A17" s="0" t="s">
        <v>32</v>
      </c>
      <c r="B17" s="4" t="n">
        <f aca="false">B2-SUM(B3,B5:B16)+B4</f>
        <v>1054446.02</v>
      </c>
      <c r="C17" s="4" t="n">
        <f aca="false">C2-SUM(C3,C5:C16)+C4</f>
        <v>1191583.27</v>
      </c>
      <c r="D17" s="4" t="n">
        <f aca="false">D2-SUM(D3,D5:D16)+D4</f>
        <v>932674.24</v>
      </c>
      <c r="E17" s="4" t="n">
        <f aca="false">E2-SUM(E3,E5:E16)+E4</f>
        <v>1106022.64</v>
      </c>
      <c r="F17" s="4" t="n">
        <f aca="false">F2-SUM(F3,F5:F16)+F4</f>
        <v>1448936.54</v>
      </c>
      <c r="G17" s="4" t="n">
        <f aca="false">G2-SUM(G3,G5:G16)+G4</f>
        <v>1328699.75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LibreOffice/5.1.4.2$Linux_X86_64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2016-10-13T08:05:09Z</dcterms:created>
  <dc:creator/>
  <dc:description/>
  <dc:language>pt-BR</dc:language>
  <cp:lastModifiedBy/>
  <cp:lastPrinted>2016-10-13T09:54:58Z</cp:lastPrinted>
  <dcterms:modified xsi:type="dcterms:W3CDTF">2016-10-18T15:04:12Z</dcterms:modified>
  <cp:revision>5</cp:revision>
  <dc:subject/>
  <dc:title/>
</cp:coreProperties>
</file>