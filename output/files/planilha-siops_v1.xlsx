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erton\Documents\Prefeitura\2016\Prestação de contas\SIOPS\1bim2016\"/>
    </mc:Choice>
  </mc:AlternateContent>
  <bookViews>
    <workbookView xWindow="240" yWindow="75" windowWidth="20115" windowHeight="7995" tabRatio="717" activeTab="3"/>
  </bookViews>
  <sheets>
    <sheet name="DADOS" sheetId="1" r:id="rId1"/>
    <sheet name="POR FONTE" sheetId="11" r:id="rId2"/>
    <sheet name="RECEITAS" sheetId="3" r:id="rId3"/>
    <sheet name="RENDIMENTOS" sheetId="12" r:id="rId4"/>
    <sheet name="DESPESAS e SALDOS" sheetId="8" r:id="rId5"/>
  </sheets>
  <definedNames>
    <definedName name="_xlnm._FilterDatabase" localSheetId="0" hidden="1">DADOS!$A$1:$P$43</definedName>
  </definedNames>
  <calcPr calcId="152511"/>
  <pivotCaches>
    <pivotCache cacheId="0" r:id="rId6"/>
    <pivotCache cacheId="18" r:id="rId7"/>
  </pivotCaches>
</workbook>
</file>

<file path=xl/calcChain.xml><?xml version="1.0" encoding="utf-8"?>
<calcChain xmlns="http://schemas.openxmlformats.org/spreadsheetml/2006/main">
  <c r="G24" i="1" l="1"/>
  <c r="N24" i="1" s="1"/>
  <c r="G43" i="1"/>
  <c r="N43" i="1" l="1"/>
  <c r="G26" i="1" l="1"/>
  <c r="N26" i="1" s="1"/>
  <c r="G30" i="1" l="1"/>
  <c r="N30" i="1" s="1"/>
  <c r="G42" i="1" l="1"/>
  <c r="G41" i="1"/>
  <c r="N41" i="1" s="1"/>
  <c r="G40" i="1"/>
  <c r="N40" i="1" s="1"/>
  <c r="G39" i="1"/>
  <c r="N39" i="1" s="1"/>
  <c r="G38" i="1"/>
  <c r="N38" i="1" s="1"/>
  <c r="G37" i="1"/>
  <c r="N37" i="1" s="1"/>
  <c r="G36" i="1"/>
  <c r="N36" i="1" s="1"/>
  <c r="G35" i="1"/>
  <c r="N35" i="1" s="1"/>
  <c r="G34" i="1"/>
  <c r="N34" i="1" s="1"/>
  <c r="G33" i="1"/>
  <c r="N33" i="1" s="1"/>
  <c r="G32" i="1"/>
  <c r="N32" i="1" s="1"/>
  <c r="G31" i="1"/>
  <c r="N31" i="1" s="1"/>
  <c r="N42" i="1"/>
  <c r="G29" i="1"/>
  <c r="N29" i="1" s="1"/>
  <c r="G28" i="1"/>
  <c r="N28" i="1" s="1"/>
  <c r="G12" i="1" l="1"/>
  <c r="N12" i="1" s="1"/>
  <c r="G11" i="1"/>
  <c r="N11" i="1" s="1"/>
  <c r="G22" i="1" l="1"/>
  <c r="N22" i="1" s="1"/>
  <c r="G18" i="1"/>
  <c r="N18" i="1" s="1"/>
  <c r="G14" i="1"/>
  <c r="N14" i="1" s="1"/>
  <c r="G8" i="1"/>
  <c r="N8" i="1" s="1"/>
  <c r="G4" i="1"/>
  <c r="N4" i="1" s="1"/>
  <c r="G2" i="1"/>
  <c r="N2" i="1" s="1"/>
  <c r="G3" i="1" l="1"/>
  <c r="N3" i="1" s="1"/>
  <c r="G6" i="1"/>
  <c r="N6" i="1" s="1"/>
  <c r="G10" i="1"/>
  <c r="N10" i="1" s="1"/>
  <c r="G16" i="1"/>
  <c r="N16" i="1" s="1"/>
  <c r="G20" i="1"/>
  <c r="N20" i="1" s="1"/>
  <c r="G7" i="1"/>
  <c r="N7" i="1" s="1"/>
  <c r="G13" i="1"/>
  <c r="N13" i="1" s="1"/>
  <c r="G17" i="1"/>
  <c r="N17" i="1" s="1"/>
  <c r="G21" i="1"/>
  <c r="N21" i="1" s="1"/>
  <c r="G25" i="1"/>
  <c r="N25" i="1" s="1"/>
  <c r="G5" i="1"/>
  <c r="N5" i="1" s="1"/>
  <c r="G9" i="1"/>
  <c r="N9" i="1" s="1"/>
  <c r="G15" i="1"/>
  <c r="N15" i="1" s="1"/>
  <c r="G19" i="1"/>
  <c r="N19" i="1" s="1"/>
  <c r="G23" i="1"/>
  <c r="N23" i="1" s="1"/>
  <c r="G27" i="1"/>
  <c r="N27" i="1" s="1"/>
</calcChain>
</file>

<file path=xl/sharedStrings.xml><?xml version="1.0" encoding="utf-8"?>
<sst xmlns="http://schemas.openxmlformats.org/spreadsheetml/2006/main" count="296" uniqueCount="66">
  <si>
    <t>RV</t>
  </si>
  <si>
    <t>BLOCO</t>
  </si>
  <si>
    <t>COMPONENTE</t>
  </si>
  <si>
    <t>RENDIMENTOS</t>
  </si>
  <si>
    <t>TOTAL</t>
  </si>
  <si>
    <t>DOTACAO</t>
  </si>
  <si>
    <t>EMPENHANDO</t>
  </si>
  <si>
    <t>LIQUIDADO</t>
  </si>
  <si>
    <t>PAGO</t>
  </si>
  <si>
    <t>RESTOS</t>
  </si>
  <si>
    <t>ANTERIOR</t>
  </si>
  <si>
    <t>ATUAL</t>
  </si>
  <si>
    <t>CONVENIOS</t>
  </si>
  <si>
    <t>ATENCAO BASICA</t>
  </si>
  <si>
    <t>FARMACIA</t>
  </si>
  <si>
    <t>MAC</t>
  </si>
  <si>
    <t>VISA</t>
  </si>
  <si>
    <t>ESFERA</t>
  </si>
  <si>
    <t>OUTROS</t>
  </si>
  <si>
    <t>PAB FIXO</t>
  </si>
  <si>
    <t>PSF</t>
  </si>
  <si>
    <t>PACS</t>
  </si>
  <si>
    <t>BUCAL</t>
  </si>
  <si>
    <t>SANITARIA</t>
  </si>
  <si>
    <t>FARMACIA BASICA</t>
  </si>
  <si>
    <t>Rótulos de Linha</t>
  </si>
  <si>
    <t>Total Geral</t>
  </si>
  <si>
    <t>Soma de DOTACAO</t>
  </si>
  <si>
    <t>Soma de EMPENHANDO</t>
  </si>
  <si>
    <t>Soma de LIQUIDADO</t>
  </si>
  <si>
    <t>Soma de PAGO</t>
  </si>
  <si>
    <t>Soma de ANTERIOR</t>
  </si>
  <si>
    <t>Soma de ATUAL</t>
  </si>
  <si>
    <t>FONTE</t>
  </si>
  <si>
    <t>TRANSF. SUS</t>
  </si>
  <si>
    <t>OUTRAS RECEITAS DO SUS</t>
  </si>
  <si>
    <t>IMPOSTOS</t>
  </si>
  <si>
    <t>TETO FINANCEIRO</t>
  </si>
  <si>
    <t>INVESTIMENTO</t>
  </si>
  <si>
    <t>RECEITA</t>
  </si>
  <si>
    <t>Soma de RECEITA</t>
  </si>
  <si>
    <t>Soma de RENDIMENTOS</t>
  </si>
  <si>
    <t>Rótulos de Coluna</t>
  </si>
  <si>
    <t>1FEDERAL</t>
  </si>
  <si>
    <t>3MUNICIPAL</t>
  </si>
  <si>
    <t>2ESTADUAL</t>
  </si>
  <si>
    <t>Soma de RESTOS</t>
  </si>
  <si>
    <t>ORCADO PROX ANO</t>
  </si>
  <si>
    <t>Soma de ORCADO PROX ANO</t>
  </si>
  <si>
    <t>P1045</t>
  </si>
  <si>
    <t>P1046</t>
  </si>
  <si>
    <t>P1048</t>
  </si>
  <si>
    <t>P2038</t>
  </si>
  <si>
    <t>P2039</t>
  </si>
  <si>
    <t>P2040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</si>
  <si>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</si>
  <si>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</si>
  <si>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</si>
  <si>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</si>
  <si>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</si>
  <si>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</si>
  <si>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</si>
  <si>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</si>
  <si>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P2052</t>
  </si>
  <si>
    <t>P1054</t>
  </si>
  <si>
    <t>P2089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</si>
</sst>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164" fontId="0" fillId="0" borderId="0" xfId="0" applyNumberFormat="1"/>
    <xf numFmtId="0" fontId="0" fillId="0" borderId="0" xfId="0" applyAlignment="1">
      <alignment horizontal="left" indent="1"/>
    </xf>
    <xf numFmtId="4" fontId="0" fillId="0" borderId="0" xfId="0" applyNumberFormat="1"/>
    <xf numFmtId="44" fontId="1" fillId="0" borderId="0" xfId="1" applyFont="1"/>
    <xf numFmtId="44" fontId="0" fillId="0" borderId="0" xfId="0" applyNumberFormat="1"/>
    <xf numFmtId="44" fontId="0" fillId="2" borderId="0" xfId="1" applyFont="1" applyFill="1"/>
    <xf numFmtId="44" fontId="3" fillId="2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verton" refreshedDate="42444.42377627315" createdVersion="5" refreshedVersion="5" minRefreshableVersion="3" recordCount="43">
  <cacheSource type="worksheet">
    <worksheetSource ref="A1:O1048576" sheet="DADOS"/>
  </cacheSource>
  <cacheFields count="15">
    <cacheField name="ESFERA" numFmtId="0">
      <sharedItems containsBlank="1" count="7">
        <s v="2ESTADUAL"/>
        <s v="1FEDERAL"/>
        <s v="3MUNICIPAL"/>
        <m/>
        <s v="FEDERAL" u="1"/>
        <s v="ESTADUAL" u="1"/>
        <s v="MUNICIPAL" u="1"/>
      </sharedItems>
    </cacheField>
    <cacheField name="RV" numFmtId="0">
      <sharedItems containsBlank="1" containsMixedTypes="1" containsNumber="1" containsInteger="1" minValue="40" maxValue="4935"/>
    </cacheField>
    <cacheField name="BLOCO" numFmtId="0">
      <sharedItems containsBlank="1" count="8">
        <s v="ATENCAO BASICA"/>
        <s v="FARMACIA"/>
        <s v="MAC"/>
        <s v="VISA"/>
        <s v="CONVENIOS"/>
        <s v="INVESTIMENTO"/>
        <s v="OUTRAS RECEITAS DO SUS"/>
        <m/>
      </sharedItems>
    </cacheField>
    <cacheField name="COMPONENTE" numFmtId="0">
      <sharedItems containsBlank="1" count="13">
        <s v="OUTROS"/>
        <s v="CONVENIOS"/>
        <s v="INVESTIMENTO"/>
        <s v="PAB FIXO"/>
        <s v="PSF"/>
        <s v="PACS"/>
        <s v="BUCAL"/>
        <s v="TETO FINANCEIRO"/>
        <s v="SANITARIA"/>
        <s v="FARMACIA BASICA"/>
        <m/>
        <s v="EPIDEMIOLOGICA" u="1"/>
        <s v="OUTRAS RECEITAS DO SUS" u="1"/>
      </sharedItems>
    </cacheField>
    <cacheField name="RECEITA" numFmtId="44">
      <sharedItems containsString="0" containsBlank="1" containsNumber="1" minValue="0" maxValue="123847.85"/>
    </cacheField>
    <cacheField name="RENDIMENTOS" numFmtId="44">
      <sharedItems containsString="0" containsBlank="1" containsNumber="1" minValue="10.06" maxValue="2577.2399999999998"/>
    </cacheField>
    <cacheField name="TOTAL" numFmtId="44">
      <sharedItems containsString="0" containsBlank="1" containsNumber="1" minValue="0" maxValue="123847.85"/>
    </cacheField>
    <cacheField name="DOTACAO" numFmtId="44">
      <sharedItems containsString="0" containsBlank="1" containsNumber="1" minValue="1377.4" maxValue="661535"/>
    </cacheField>
    <cacheField name="EMPENHANDO" numFmtId="44">
      <sharedItems containsString="0" containsBlank="1" containsNumber="1" minValue="2000" maxValue="368337.4"/>
    </cacheField>
    <cacheField name="LIQUIDADO" numFmtId="44">
      <sharedItems containsString="0" containsBlank="1" containsNumber="1" minValue="2000" maxValue="133309.43"/>
    </cacheField>
    <cacheField name="PAGO" numFmtId="44">
      <sharedItems containsString="0" containsBlank="1" containsNumber="1" minValue="2000" maxValue="123847.85"/>
    </cacheField>
    <cacheField name="RESTOS" numFmtId="44">
      <sharedItems containsString="0" containsBlank="1" containsNumber="1" containsInteger="1" minValue="5200" maxValue="5200"/>
    </cacheField>
    <cacheField name="ANTERIOR" numFmtId="44">
      <sharedItems containsString="0" containsBlank="1" containsNumber="1" minValue="2173.04" maxValue="130769.06"/>
    </cacheField>
    <cacheField name="ATUAL" numFmtId="44">
      <sharedItems containsString="0" containsBlank="1" containsNumber="1" minValue="0" maxValue="133346.29999999999"/>
    </cacheField>
    <cacheField name="FON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verton" refreshedDate="42444.558513773147" createdVersion="5" refreshedVersion="5" minRefreshableVersion="3" recordCount="43">
  <cacheSource type="worksheet">
    <worksheetSource ref="A1:P1048576" sheet="DADOS"/>
  </cacheSource>
  <cacheFields count="16">
    <cacheField name="ESFERA" numFmtId="0">
      <sharedItems containsBlank="1"/>
    </cacheField>
    <cacheField name="RV" numFmtId="0">
      <sharedItems containsBlank="1" containsMixedTypes="1" containsNumber="1" containsInteger="1" minValue="40" maxValue="4935"/>
    </cacheField>
    <cacheField name="BLOCO" numFmtId="0">
      <sharedItems containsBlank="1" count="8">
        <s v="ATENCAO BASICA"/>
        <s v="FARMACIA"/>
        <s v="MAC"/>
        <s v="VISA"/>
        <s v="CONVENIOS"/>
        <s v="INVESTIMENTO"/>
        <s v="OUTRAS RECEITAS DO SUS"/>
        <m/>
      </sharedItems>
    </cacheField>
    <cacheField name="COMPONENTE" numFmtId="0">
      <sharedItems containsBlank="1" count="13">
        <s v="OUTROS"/>
        <s v="CONVENIOS"/>
        <s v="INVESTIMENTO"/>
        <s v="PAB FIXO"/>
        <s v="PSF"/>
        <s v="PACS"/>
        <s v="BUCAL"/>
        <s v="TETO FINANCEIRO"/>
        <s v="SANITARIA"/>
        <s v="FARMACIA BASICA"/>
        <m/>
        <s v="EPIDEMIOLOGICA" u="1"/>
        <s v="OUTRAS RECEITAS DO SUS" u="1"/>
      </sharedItems>
    </cacheField>
    <cacheField name="RECEITA" numFmtId="44">
      <sharedItems containsString="0" containsBlank="1" containsNumber="1" minValue="0" maxValue="123847.85"/>
    </cacheField>
    <cacheField name="RENDIMENTOS" numFmtId="44">
      <sharedItems containsString="0" containsBlank="1" containsNumber="1" minValue="10.06" maxValue="2577.2399999999998"/>
    </cacheField>
    <cacheField name="TOTAL" numFmtId="44">
      <sharedItems containsString="0" containsBlank="1" containsNumber="1" minValue="0" maxValue="123847.85"/>
    </cacheField>
    <cacheField name="DOTACAO" numFmtId="44">
      <sharedItems containsString="0" containsBlank="1" containsNumber="1" minValue="1377.4" maxValue="661535"/>
    </cacheField>
    <cacheField name="EMPENHANDO" numFmtId="44">
      <sharedItems containsString="0" containsBlank="1" containsNumber="1" minValue="2000" maxValue="368337.4"/>
    </cacheField>
    <cacheField name="LIQUIDADO" numFmtId="44">
      <sharedItems containsString="0" containsBlank="1" containsNumber="1" minValue="2000" maxValue="133309.43"/>
    </cacheField>
    <cacheField name="PAGO" numFmtId="44">
      <sharedItems containsString="0" containsBlank="1" containsNumber="1" minValue="2000" maxValue="123847.85"/>
    </cacheField>
    <cacheField name="RESTOS" numFmtId="44">
      <sharedItems containsString="0" containsBlank="1" containsNumber="1" containsInteger="1" minValue="5200" maxValue="5200"/>
    </cacheField>
    <cacheField name="ANTERIOR" numFmtId="44">
      <sharedItems containsString="0" containsBlank="1" containsNumber="1" minValue="0" maxValue="130769.06"/>
    </cacheField>
    <cacheField name="ATUAL" numFmtId="44">
      <sharedItems containsString="0" containsBlank="1" containsNumber="1" minValue="0" maxValue="133346.29999999999"/>
    </cacheField>
    <cacheField name="FONTE" numFmtId="0">
      <sharedItems containsBlank="1" count="4">
        <s v="TRANSF. SUS"/>
        <s v="IMPOSTOS"/>
        <m/>
        <s v="OUTRAS FONTES" u="1"/>
      </sharedItems>
    </cacheField>
    <cacheField name="ORCADO PROX ANO" numFmtId="4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x v="0"/>
    <n v="4011"/>
    <x v="0"/>
    <x v="0"/>
    <n v="12410.33"/>
    <n v="286.79000000000002"/>
    <n v="12697.12"/>
    <m/>
    <m/>
    <m/>
    <m/>
    <m/>
    <n v="11733.73"/>
    <n v="24430.85"/>
    <s v="TRANSF. SUS"/>
  </r>
  <r>
    <x v="0"/>
    <n v="4050"/>
    <x v="1"/>
    <x v="0"/>
    <n v="1320.62"/>
    <n v="109.78"/>
    <n v="1430.3999999999999"/>
    <n v="15847.44"/>
    <m/>
    <m/>
    <m/>
    <m/>
    <n v="5149.21"/>
    <n v="6579.61"/>
    <s v="TRANSF. SUS"/>
  </r>
  <r>
    <x v="0"/>
    <n v="4080"/>
    <x v="0"/>
    <x v="0"/>
    <m/>
    <m/>
    <n v="0"/>
    <m/>
    <m/>
    <m/>
    <m/>
    <m/>
    <m/>
    <n v="0"/>
    <s v="TRANSF. SUS"/>
  </r>
  <r>
    <x v="0"/>
    <n v="4090"/>
    <x v="0"/>
    <x v="0"/>
    <n v="28196"/>
    <n v="219.8"/>
    <n v="28415.8"/>
    <n v="150452.99"/>
    <n v="14000"/>
    <n v="14000"/>
    <n v="14000"/>
    <m/>
    <n v="11152.02"/>
    <n v="25567.82"/>
    <s v="TRANSF. SUS"/>
  </r>
  <r>
    <x v="0"/>
    <n v="4110"/>
    <x v="0"/>
    <x v="0"/>
    <m/>
    <m/>
    <n v="0"/>
    <m/>
    <m/>
    <m/>
    <m/>
    <m/>
    <m/>
    <n v="0"/>
    <s v="TRANSF. SUS"/>
  </r>
  <r>
    <x v="0"/>
    <n v="4111"/>
    <x v="2"/>
    <x v="0"/>
    <m/>
    <n v="2577.2399999999998"/>
    <n v="2577.2399999999998"/>
    <m/>
    <m/>
    <m/>
    <m/>
    <m/>
    <n v="130769.06"/>
    <n v="133346.29999999999"/>
    <s v="TRANSF. SUS"/>
  </r>
  <r>
    <x v="0"/>
    <n v="4160"/>
    <x v="0"/>
    <x v="0"/>
    <n v="2000"/>
    <m/>
    <n v="2000"/>
    <n v="24000"/>
    <n v="2000"/>
    <n v="2000"/>
    <n v="2000"/>
    <m/>
    <m/>
    <n v="0"/>
    <s v="TRANSF. SUS"/>
  </r>
  <r>
    <x v="0"/>
    <n v="4190"/>
    <x v="3"/>
    <x v="0"/>
    <m/>
    <n v="51.19"/>
    <n v="51.19"/>
    <m/>
    <m/>
    <m/>
    <m/>
    <m/>
    <n v="2597.37"/>
    <n v="2648.56"/>
    <s v="TRANSF. SUS"/>
  </r>
  <r>
    <x v="0"/>
    <n v="4230"/>
    <x v="4"/>
    <x v="1"/>
    <m/>
    <m/>
    <n v="0"/>
    <m/>
    <m/>
    <m/>
    <m/>
    <m/>
    <m/>
    <n v="0"/>
    <s v="TRANSF. SUS"/>
  </r>
  <r>
    <x v="0"/>
    <n v="4234"/>
    <x v="5"/>
    <x v="2"/>
    <m/>
    <m/>
    <n v="0"/>
    <m/>
    <m/>
    <m/>
    <m/>
    <m/>
    <m/>
    <n v="0"/>
    <s v="TRANSF. SUS"/>
  </r>
  <r>
    <x v="0"/>
    <n v="4292"/>
    <x v="5"/>
    <x v="2"/>
    <m/>
    <m/>
    <n v="0"/>
    <m/>
    <m/>
    <m/>
    <m/>
    <m/>
    <m/>
    <n v="0"/>
    <s v="TRANSF. SUS"/>
  </r>
  <r>
    <x v="0"/>
    <n v="4303"/>
    <x v="4"/>
    <x v="1"/>
    <m/>
    <n v="697.93"/>
    <n v="697.93"/>
    <m/>
    <m/>
    <m/>
    <m/>
    <m/>
    <n v="35413.43"/>
    <n v="36111.360000000001"/>
    <s v="TRANSF. SUS"/>
  </r>
  <r>
    <x v="1"/>
    <n v="4510"/>
    <x v="0"/>
    <x v="3"/>
    <n v="45597.99"/>
    <n v="344.97"/>
    <n v="45942.96"/>
    <n v="203675.87"/>
    <n v="46529"/>
    <n v="23633.49"/>
    <n v="20812.68"/>
    <m/>
    <n v="2173.04"/>
    <n v="27303.32"/>
    <s v="TRANSF. SUS"/>
  </r>
  <r>
    <x v="1"/>
    <n v="4520"/>
    <x v="0"/>
    <x v="4"/>
    <n v="59572"/>
    <n v="10.06"/>
    <n v="59582.06"/>
    <n v="385824"/>
    <n v="50387.69"/>
    <n v="50387.69"/>
    <n v="50387.69"/>
    <m/>
    <m/>
    <n v="9194.3699999999953"/>
    <s v="TRANSF. SUS"/>
  </r>
  <r>
    <x v="1"/>
    <n v="4530"/>
    <x v="0"/>
    <x v="5"/>
    <m/>
    <m/>
    <n v="0"/>
    <m/>
    <m/>
    <m/>
    <m/>
    <m/>
    <m/>
    <n v="0"/>
    <s v="TRANSF. SUS"/>
  </r>
  <r>
    <x v="1"/>
    <n v="4540"/>
    <x v="0"/>
    <x v="6"/>
    <m/>
    <m/>
    <n v="0"/>
    <m/>
    <m/>
    <m/>
    <m/>
    <m/>
    <m/>
    <n v="0"/>
    <s v="TRANSF. SUS"/>
  </r>
  <r>
    <x v="1"/>
    <n v="4590"/>
    <x v="2"/>
    <x v="7"/>
    <m/>
    <n v="848.02"/>
    <n v="848.02"/>
    <m/>
    <m/>
    <m/>
    <m/>
    <n v="5200"/>
    <n v="50122.95"/>
    <n v="45770.969999999994"/>
    <s v="TRANSF. SUS"/>
  </r>
  <r>
    <x v="1"/>
    <n v="4710"/>
    <x v="3"/>
    <x v="8"/>
    <n v="12699.11"/>
    <n v="548.1"/>
    <n v="13247.210000000001"/>
    <n v="34040.61"/>
    <n v="8187.3"/>
    <n v="8187.3"/>
    <n v="8187.3"/>
    <m/>
    <n v="30560.35"/>
    <n v="35620.259999999995"/>
    <s v="TRANSF. SUS"/>
  </r>
  <r>
    <x v="1"/>
    <n v="4720"/>
    <x v="3"/>
    <x v="8"/>
    <m/>
    <n v="210.72"/>
    <n v="210.72"/>
    <m/>
    <m/>
    <m/>
    <m/>
    <m/>
    <n v="12010.56"/>
    <n v="12221.279999999999"/>
    <s v="TRANSF. SUS"/>
  </r>
  <r>
    <x v="1"/>
    <n v="4730"/>
    <x v="3"/>
    <x v="8"/>
    <m/>
    <m/>
    <n v="0"/>
    <m/>
    <m/>
    <m/>
    <m/>
    <m/>
    <m/>
    <n v="0"/>
    <s v="TRANSF. SUS"/>
  </r>
  <r>
    <x v="1"/>
    <n v="4760"/>
    <x v="3"/>
    <x v="8"/>
    <m/>
    <n v="266.13"/>
    <n v="266.13"/>
    <n v="1377.4"/>
    <m/>
    <m/>
    <m/>
    <m/>
    <n v="19721.7"/>
    <n v="19987.830000000002"/>
    <s v="TRANSF. SUS"/>
  </r>
  <r>
    <x v="1"/>
    <n v="4503"/>
    <x v="1"/>
    <x v="9"/>
    <n v="8561.64"/>
    <n v="431.03"/>
    <n v="8992.67"/>
    <n v="36792.199999999997"/>
    <m/>
    <m/>
    <m/>
    <m/>
    <n v="25329.91"/>
    <n v="34322.58"/>
    <s v="TRANSF. SUS"/>
  </r>
  <r>
    <x v="1"/>
    <n v="4931"/>
    <x v="5"/>
    <x v="2"/>
    <m/>
    <n v="1840.92"/>
    <n v="1840.92"/>
    <n v="100000"/>
    <m/>
    <m/>
    <m/>
    <m/>
    <n v="101306.35"/>
    <n v="103147.27"/>
    <s v="TRANSF. SUS"/>
  </r>
  <r>
    <x v="1"/>
    <n v="4935"/>
    <x v="4"/>
    <x v="1"/>
    <m/>
    <n v="29.78"/>
    <n v="29.78"/>
    <n v="66991.929999999993"/>
    <n v="66991.929999999993"/>
    <m/>
    <m/>
    <m/>
    <n v="2206.37"/>
    <n v="2236.15"/>
    <s v="TRANSF. SUS"/>
  </r>
  <r>
    <x v="2"/>
    <n v="40"/>
    <x v="6"/>
    <x v="0"/>
    <m/>
    <m/>
    <n v="0"/>
    <m/>
    <m/>
    <m/>
    <m/>
    <m/>
    <n v="4072.88"/>
    <n v="4072.88"/>
    <s v="IMPOSTOS"/>
  </r>
  <r>
    <x v="2"/>
    <s v="P1045"/>
    <x v="4"/>
    <x v="1"/>
    <n v="0"/>
    <m/>
    <n v="0"/>
    <m/>
    <m/>
    <m/>
    <m/>
    <m/>
    <m/>
    <n v="0"/>
    <s v="IMPOSTOS"/>
  </r>
  <r>
    <x v="2"/>
    <s v="P1046"/>
    <x v="4"/>
    <x v="1"/>
    <n v="0"/>
    <m/>
    <n v="0"/>
    <m/>
    <m/>
    <m/>
    <m/>
    <m/>
    <m/>
    <n v="0"/>
    <s v="IMPOSTOS"/>
  </r>
  <r>
    <x v="2"/>
    <s v="P1048"/>
    <x v="0"/>
    <x v="0"/>
    <n v="5086.6000000000004"/>
    <m/>
    <n v="5086.6000000000004"/>
    <n v="40000"/>
    <n v="30519.599999999999"/>
    <n v="5086.6000000000004"/>
    <n v="5086.6000000000004"/>
    <m/>
    <m/>
    <n v="0"/>
    <s v="IMPOSTOS"/>
  </r>
  <r>
    <x v="2"/>
    <s v="P1054"/>
    <x v="0"/>
    <x v="0"/>
    <n v="0"/>
    <m/>
    <n v="0"/>
    <m/>
    <m/>
    <m/>
    <m/>
    <m/>
    <m/>
    <n v="0"/>
    <s v="IMPOSTOS"/>
  </r>
  <r>
    <x v="2"/>
    <s v="P2038"/>
    <x v="6"/>
    <x v="0"/>
    <n v="123847.85"/>
    <m/>
    <n v="123847.85"/>
    <n v="661535"/>
    <n v="170615.13"/>
    <n v="133309.43"/>
    <n v="123847.85"/>
    <m/>
    <m/>
    <n v="0"/>
    <s v="IMPOSTOS"/>
  </r>
  <r>
    <x v="2"/>
    <s v="P2039"/>
    <x v="0"/>
    <x v="0"/>
    <n v="20863.05"/>
    <m/>
    <n v="20863.05"/>
    <n v="180760"/>
    <n v="28138.57"/>
    <n v="28138.57"/>
    <n v="20863.05"/>
    <m/>
    <m/>
    <n v="0"/>
    <s v="IMPOSTOS"/>
  </r>
  <r>
    <x v="2"/>
    <s v="P2040"/>
    <x v="0"/>
    <x v="0"/>
    <n v="30207.67"/>
    <m/>
    <n v="30207.67"/>
    <n v="460630"/>
    <n v="129385.87"/>
    <n v="55546.32"/>
    <n v="30207.67"/>
    <m/>
    <m/>
    <n v="0"/>
    <s v="IMPOSTOS"/>
  </r>
  <r>
    <x v="2"/>
    <s v="P2043"/>
    <x v="0"/>
    <x v="0"/>
    <n v="43464.7"/>
    <m/>
    <n v="43464.7"/>
    <n v="282630"/>
    <n v="47391.51"/>
    <n v="47391.51"/>
    <n v="43464.7"/>
    <m/>
    <m/>
    <n v="0"/>
    <s v="IMPOSTOS"/>
  </r>
  <r>
    <x v="2"/>
    <s v="P2044"/>
    <x v="1"/>
    <x v="0"/>
    <n v="0"/>
    <m/>
    <n v="0"/>
    <n v="115000"/>
    <n v="2895.62"/>
    <m/>
    <m/>
    <m/>
    <m/>
    <n v="0"/>
    <s v="IMPOSTOS"/>
  </r>
  <r>
    <x v="2"/>
    <s v="P2045"/>
    <x v="0"/>
    <x v="0"/>
    <n v="44687.99"/>
    <m/>
    <n v="44687.99"/>
    <n v="316630"/>
    <n v="50157.84"/>
    <n v="49842.84"/>
    <n v="44687.99"/>
    <m/>
    <m/>
    <n v="0"/>
    <s v="IMPOSTOS"/>
  </r>
  <r>
    <x v="2"/>
    <s v="P2046"/>
    <x v="2"/>
    <x v="0"/>
    <n v="19345.650000000001"/>
    <m/>
    <n v="19345.650000000001"/>
    <n v="555000"/>
    <n v="368337.4"/>
    <n v="19570.650000000001"/>
    <n v="19345.650000000001"/>
    <m/>
    <m/>
    <n v="0"/>
    <s v="IMPOSTOS"/>
  </r>
  <r>
    <x v="2"/>
    <s v="P2047"/>
    <x v="0"/>
    <x v="0"/>
    <n v="63902.43"/>
    <m/>
    <n v="63902.43"/>
    <n v="458206.01"/>
    <n v="154321.43"/>
    <n v="67035.850000000006"/>
    <n v="63902.43"/>
    <m/>
    <m/>
    <n v="0"/>
    <s v="IMPOSTOS"/>
  </r>
  <r>
    <x v="2"/>
    <s v="P2048"/>
    <x v="0"/>
    <x v="0"/>
    <n v="3412.45"/>
    <m/>
    <n v="3412.45"/>
    <n v="41700"/>
    <n v="4115.37"/>
    <n v="4115.37"/>
    <n v="3412.45"/>
    <m/>
    <m/>
    <n v="0"/>
    <s v="IMPOSTOS"/>
  </r>
  <r>
    <x v="2"/>
    <s v="P2049"/>
    <x v="3"/>
    <x v="0"/>
    <n v="0"/>
    <m/>
    <n v="0"/>
    <m/>
    <m/>
    <m/>
    <m/>
    <m/>
    <m/>
    <n v="0"/>
    <s v="IMPOSTOS"/>
  </r>
  <r>
    <x v="2"/>
    <s v="P2050"/>
    <x v="3"/>
    <x v="0"/>
    <n v="0"/>
    <m/>
    <n v="0"/>
    <m/>
    <m/>
    <m/>
    <m/>
    <m/>
    <m/>
    <n v="0"/>
    <s v="IMPOSTOS"/>
  </r>
  <r>
    <x v="2"/>
    <s v="P2052"/>
    <x v="3"/>
    <x v="0"/>
    <n v="5360.21"/>
    <m/>
    <n v="5360.21"/>
    <n v="45040"/>
    <n v="12090.75"/>
    <n v="7135.21"/>
    <n v="5360.21"/>
    <m/>
    <m/>
    <n v="0"/>
    <s v="IMPOSTOS"/>
  </r>
  <r>
    <x v="2"/>
    <s v="P2089"/>
    <x v="2"/>
    <x v="0"/>
    <n v="0"/>
    <m/>
    <n v="0"/>
    <m/>
    <m/>
    <m/>
    <m/>
    <m/>
    <m/>
    <n v="0"/>
    <s v="IMPOSTOS"/>
  </r>
  <r>
    <x v="3"/>
    <m/>
    <x v="7"/>
    <x v="10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3">
  <r>
    <s v="2ESTADUAL"/>
    <n v="4011"/>
    <x v="0"/>
    <x v="0"/>
    <n v="12410.33"/>
    <n v="286.79000000000002"/>
    <n v="12697.12"/>
    <m/>
    <m/>
    <m/>
    <m/>
    <m/>
    <n v="11733.729999999996"/>
    <n v="24430.85"/>
    <x v="0"/>
    <m/>
  </r>
  <r>
    <s v="2ESTADUAL"/>
    <n v="4050"/>
    <x v="1"/>
    <x v="0"/>
    <n v="1320.62"/>
    <n v="109.78"/>
    <n v="1430.3999999999999"/>
    <n v="15847.44"/>
    <m/>
    <m/>
    <m/>
    <m/>
    <n v="5149.21"/>
    <n v="6579.61"/>
    <x v="0"/>
    <m/>
  </r>
  <r>
    <s v="2ESTADUAL"/>
    <n v="4080"/>
    <x v="0"/>
    <x v="0"/>
    <m/>
    <m/>
    <n v="0"/>
    <m/>
    <m/>
    <m/>
    <m/>
    <m/>
    <n v="0"/>
    <n v="0"/>
    <x v="0"/>
    <m/>
  </r>
  <r>
    <s v="2ESTADUAL"/>
    <n v="4090"/>
    <x v="0"/>
    <x v="0"/>
    <n v="28196"/>
    <n v="219.8"/>
    <n v="28415.8"/>
    <n v="150452.99"/>
    <n v="14000"/>
    <n v="14000"/>
    <n v="14000"/>
    <m/>
    <n v="11152.020000000004"/>
    <n v="25567.820000000007"/>
    <x v="0"/>
    <m/>
  </r>
  <r>
    <s v="2ESTADUAL"/>
    <n v="4110"/>
    <x v="0"/>
    <x v="0"/>
    <m/>
    <m/>
    <n v="0"/>
    <m/>
    <m/>
    <m/>
    <m/>
    <m/>
    <n v="0"/>
    <n v="0"/>
    <x v="0"/>
    <m/>
  </r>
  <r>
    <s v="2ESTADUAL"/>
    <n v="4111"/>
    <x v="2"/>
    <x v="0"/>
    <m/>
    <n v="2577.2399999999998"/>
    <n v="2577.2399999999998"/>
    <m/>
    <m/>
    <m/>
    <m/>
    <m/>
    <n v="130769.06"/>
    <n v="133346.29999999999"/>
    <x v="0"/>
    <m/>
  </r>
  <r>
    <s v="2ESTADUAL"/>
    <n v="4160"/>
    <x v="0"/>
    <x v="0"/>
    <n v="2000"/>
    <m/>
    <n v="2000"/>
    <n v="24000"/>
    <n v="2000"/>
    <n v="2000"/>
    <n v="2000"/>
    <m/>
    <n v="0"/>
    <n v="0"/>
    <x v="0"/>
    <m/>
  </r>
  <r>
    <s v="2ESTADUAL"/>
    <n v="4190"/>
    <x v="3"/>
    <x v="0"/>
    <m/>
    <n v="51.19"/>
    <n v="51.19"/>
    <m/>
    <m/>
    <m/>
    <m/>
    <m/>
    <n v="2597.37"/>
    <n v="2648.56"/>
    <x v="0"/>
    <m/>
  </r>
  <r>
    <s v="2ESTADUAL"/>
    <n v="4230"/>
    <x v="4"/>
    <x v="1"/>
    <m/>
    <m/>
    <n v="0"/>
    <m/>
    <m/>
    <m/>
    <m/>
    <m/>
    <n v="0"/>
    <n v="0"/>
    <x v="0"/>
    <m/>
  </r>
  <r>
    <s v="2ESTADUAL"/>
    <n v="4234"/>
    <x v="5"/>
    <x v="2"/>
    <m/>
    <m/>
    <n v="0"/>
    <m/>
    <m/>
    <m/>
    <m/>
    <m/>
    <n v="0"/>
    <n v="0"/>
    <x v="0"/>
    <m/>
  </r>
  <r>
    <s v="2ESTADUAL"/>
    <n v="4292"/>
    <x v="5"/>
    <x v="2"/>
    <m/>
    <m/>
    <n v="0"/>
    <m/>
    <m/>
    <m/>
    <m/>
    <m/>
    <n v="0"/>
    <n v="0"/>
    <x v="0"/>
    <m/>
  </r>
  <r>
    <s v="2ESTADUAL"/>
    <n v="4303"/>
    <x v="4"/>
    <x v="1"/>
    <m/>
    <n v="697.93"/>
    <n v="697.93"/>
    <m/>
    <m/>
    <m/>
    <m/>
    <m/>
    <n v="35413.430000000008"/>
    <n v="36111.360000000008"/>
    <x v="0"/>
    <m/>
  </r>
  <r>
    <s v="1FEDERAL"/>
    <n v="4510"/>
    <x v="0"/>
    <x v="3"/>
    <n v="45597.99"/>
    <n v="344.97"/>
    <n v="45942.96"/>
    <n v="203675.87"/>
    <n v="46529"/>
    <n v="23633.49"/>
    <n v="20812.68"/>
    <m/>
    <n v="2173.0400000000373"/>
    <n v="27303.320000000036"/>
    <x v="0"/>
    <m/>
  </r>
  <r>
    <s v="1FEDERAL"/>
    <n v="4520"/>
    <x v="0"/>
    <x v="4"/>
    <n v="59572"/>
    <n v="10.06"/>
    <n v="59582.06"/>
    <n v="385824"/>
    <n v="50387.69"/>
    <n v="50387.69"/>
    <n v="50387.69"/>
    <m/>
    <n v="0"/>
    <n v="9194.3699999999953"/>
    <x v="0"/>
    <m/>
  </r>
  <r>
    <s v="1FEDERAL"/>
    <n v="4530"/>
    <x v="0"/>
    <x v="5"/>
    <m/>
    <m/>
    <n v="0"/>
    <m/>
    <m/>
    <m/>
    <m/>
    <m/>
    <n v="0"/>
    <n v="0"/>
    <x v="0"/>
    <m/>
  </r>
  <r>
    <s v="1FEDERAL"/>
    <n v="4540"/>
    <x v="0"/>
    <x v="6"/>
    <m/>
    <m/>
    <n v="0"/>
    <m/>
    <m/>
    <m/>
    <m/>
    <m/>
    <n v="0"/>
    <n v="0"/>
    <x v="0"/>
    <m/>
  </r>
  <r>
    <s v="1FEDERAL"/>
    <n v="4590"/>
    <x v="2"/>
    <x v="7"/>
    <m/>
    <n v="848.02"/>
    <n v="848.02"/>
    <m/>
    <m/>
    <m/>
    <m/>
    <n v="5200"/>
    <n v="50122.95"/>
    <n v="45770.969999999994"/>
    <x v="0"/>
    <m/>
  </r>
  <r>
    <s v="1FEDERAL"/>
    <n v="4710"/>
    <x v="3"/>
    <x v="8"/>
    <n v="12699.11"/>
    <n v="548.1"/>
    <n v="13247.210000000001"/>
    <n v="34040.61"/>
    <n v="8187.3"/>
    <n v="8187.3"/>
    <n v="8187.3"/>
    <m/>
    <n v="30560.35"/>
    <n v="35620.259999999995"/>
    <x v="0"/>
    <m/>
  </r>
  <r>
    <s v="1FEDERAL"/>
    <n v="4720"/>
    <x v="3"/>
    <x v="8"/>
    <m/>
    <n v="210.72"/>
    <n v="210.72"/>
    <m/>
    <m/>
    <m/>
    <m/>
    <m/>
    <n v="12010.56"/>
    <n v="12221.279999999999"/>
    <x v="0"/>
    <m/>
  </r>
  <r>
    <s v="1FEDERAL"/>
    <n v="4730"/>
    <x v="3"/>
    <x v="8"/>
    <m/>
    <m/>
    <n v="0"/>
    <m/>
    <m/>
    <m/>
    <m/>
    <m/>
    <n v="0"/>
    <n v="0"/>
    <x v="0"/>
    <m/>
  </r>
  <r>
    <s v="1FEDERAL"/>
    <n v="4760"/>
    <x v="3"/>
    <x v="8"/>
    <m/>
    <n v="266.13"/>
    <n v="266.13"/>
    <n v="1377.4"/>
    <m/>
    <m/>
    <m/>
    <m/>
    <n v="19721.699999999997"/>
    <n v="19987.829999999998"/>
    <x v="0"/>
    <m/>
  </r>
  <r>
    <s v="1FEDERAL"/>
    <n v="4503"/>
    <x v="1"/>
    <x v="9"/>
    <n v="8561.64"/>
    <n v="431.03"/>
    <n v="8992.67"/>
    <n v="36792.199999999997"/>
    <m/>
    <m/>
    <m/>
    <m/>
    <n v="25329.909999999996"/>
    <n v="34322.579999999994"/>
    <x v="0"/>
    <m/>
  </r>
  <r>
    <s v="1FEDERAL"/>
    <n v="4931"/>
    <x v="5"/>
    <x v="2"/>
    <m/>
    <n v="1840.92"/>
    <n v="1840.92"/>
    <n v="100000"/>
    <m/>
    <m/>
    <m/>
    <m/>
    <n v="100000"/>
    <n v="101840.92"/>
    <x v="0"/>
    <m/>
  </r>
  <r>
    <s v="1FEDERAL"/>
    <n v="4935"/>
    <x v="4"/>
    <x v="1"/>
    <m/>
    <n v="29.78"/>
    <n v="29.78"/>
    <n v="66991.929999999993"/>
    <n v="66991.929999999993"/>
    <m/>
    <m/>
    <m/>
    <n v="2206.3699999999953"/>
    <n v="2236.1499999999955"/>
    <x v="0"/>
    <m/>
  </r>
  <r>
    <s v="3MUNICIPAL"/>
    <n v="40"/>
    <x v="6"/>
    <x v="0"/>
    <m/>
    <m/>
    <n v="0"/>
    <m/>
    <m/>
    <m/>
    <m/>
    <m/>
    <n v="728.88000000000011"/>
    <n v="728.88000000000011"/>
    <x v="1"/>
    <m/>
  </r>
  <r>
    <s v="3MUNICIPAL"/>
    <s v="P1045"/>
    <x v="4"/>
    <x v="1"/>
    <n v="0"/>
    <m/>
    <n v="0"/>
    <m/>
    <m/>
    <m/>
    <m/>
    <m/>
    <n v="4000"/>
    <n v="4000"/>
    <x v="1"/>
    <m/>
  </r>
  <r>
    <s v="3MUNICIPAL"/>
    <s v="P1046"/>
    <x v="4"/>
    <x v="1"/>
    <n v="0"/>
    <m/>
    <n v="0"/>
    <m/>
    <m/>
    <m/>
    <m/>
    <m/>
    <n v="0"/>
    <n v="0"/>
    <x v="1"/>
    <m/>
  </r>
  <r>
    <s v="3MUNICIPAL"/>
    <s v="P1048"/>
    <x v="0"/>
    <x v="0"/>
    <n v="5086.6000000000004"/>
    <m/>
    <n v="5086.6000000000004"/>
    <n v="40000"/>
    <n v="30519.599999999999"/>
    <n v="5086.6000000000004"/>
    <n v="5086.6000000000004"/>
    <m/>
    <n v="0"/>
    <n v="0"/>
    <x v="1"/>
    <m/>
  </r>
  <r>
    <s v="3MUNICIPAL"/>
    <s v="P1054"/>
    <x v="0"/>
    <x v="0"/>
    <n v="0"/>
    <m/>
    <n v="0"/>
    <m/>
    <m/>
    <m/>
    <m/>
    <m/>
    <n v="0"/>
    <n v="0"/>
    <x v="1"/>
    <m/>
  </r>
  <r>
    <s v="3MUNICIPAL"/>
    <s v="P2038"/>
    <x v="6"/>
    <x v="0"/>
    <n v="123847.85"/>
    <m/>
    <n v="123847.85"/>
    <n v="661535"/>
    <n v="170615.13"/>
    <n v="133309.43"/>
    <n v="123847.85"/>
    <m/>
    <n v="0"/>
    <n v="0"/>
    <x v="1"/>
    <m/>
  </r>
  <r>
    <s v="3MUNICIPAL"/>
    <s v="P2039"/>
    <x v="0"/>
    <x v="0"/>
    <n v="20863.05"/>
    <m/>
    <n v="20863.05"/>
    <n v="180760"/>
    <n v="28138.57"/>
    <n v="28138.57"/>
    <n v="20863.05"/>
    <m/>
    <n v="0"/>
    <n v="0"/>
    <x v="1"/>
    <m/>
  </r>
  <r>
    <s v="3MUNICIPAL"/>
    <s v="P2040"/>
    <x v="0"/>
    <x v="0"/>
    <n v="30207.67"/>
    <m/>
    <n v="30207.67"/>
    <n v="460630"/>
    <n v="129385.87"/>
    <n v="55546.32"/>
    <n v="30207.67"/>
    <m/>
    <n v="0"/>
    <n v="0"/>
    <x v="1"/>
    <m/>
  </r>
  <r>
    <s v="3MUNICIPAL"/>
    <s v="P2043"/>
    <x v="0"/>
    <x v="0"/>
    <n v="43464.7"/>
    <m/>
    <n v="43464.7"/>
    <n v="282630"/>
    <n v="47391.51"/>
    <n v="47391.51"/>
    <n v="43464.7"/>
    <m/>
    <n v="0"/>
    <n v="0"/>
    <x v="1"/>
    <m/>
  </r>
  <r>
    <s v="3MUNICIPAL"/>
    <s v="P2044"/>
    <x v="1"/>
    <x v="0"/>
    <n v="0"/>
    <m/>
    <n v="0"/>
    <n v="115000"/>
    <n v="2895.62"/>
    <m/>
    <m/>
    <m/>
    <n v="0"/>
    <n v="0"/>
    <x v="1"/>
    <m/>
  </r>
  <r>
    <s v="3MUNICIPAL"/>
    <s v="P2045"/>
    <x v="0"/>
    <x v="0"/>
    <n v="44687.99"/>
    <m/>
    <n v="44687.99"/>
    <n v="316630"/>
    <n v="50157.84"/>
    <n v="49842.84"/>
    <n v="44687.99"/>
    <m/>
    <n v="0"/>
    <n v="0"/>
    <x v="1"/>
    <m/>
  </r>
  <r>
    <s v="3MUNICIPAL"/>
    <s v="P2046"/>
    <x v="2"/>
    <x v="0"/>
    <n v="19345.650000000001"/>
    <m/>
    <n v="19345.650000000001"/>
    <n v="555000"/>
    <n v="368337.4"/>
    <n v="19570.650000000001"/>
    <n v="19345.650000000001"/>
    <m/>
    <n v="0"/>
    <n v="0"/>
    <x v="1"/>
    <m/>
  </r>
  <r>
    <s v="3MUNICIPAL"/>
    <s v="P2047"/>
    <x v="0"/>
    <x v="0"/>
    <n v="63902.43"/>
    <m/>
    <n v="63902.43"/>
    <n v="458206.01"/>
    <n v="154321.43"/>
    <n v="67035.850000000006"/>
    <n v="63902.43"/>
    <m/>
    <n v="0"/>
    <n v="0"/>
    <x v="1"/>
    <m/>
  </r>
  <r>
    <s v="3MUNICIPAL"/>
    <s v="P2048"/>
    <x v="0"/>
    <x v="0"/>
    <n v="3412.45"/>
    <m/>
    <n v="3412.45"/>
    <n v="41700"/>
    <n v="4115.37"/>
    <n v="4115.37"/>
    <n v="3412.45"/>
    <m/>
    <n v="0"/>
    <n v="0"/>
    <x v="1"/>
    <m/>
  </r>
  <r>
    <s v="3MUNICIPAL"/>
    <s v="P2049"/>
    <x v="3"/>
    <x v="0"/>
    <n v="0"/>
    <m/>
    <n v="0"/>
    <m/>
    <m/>
    <m/>
    <m/>
    <m/>
    <n v="0"/>
    <n v="0"/>
    <x v="1"/>
    <m/>
  </r>
  <r>
    <s v="3MUNICIPAL"/>
    <s v="P2050"/>
    <x v="3"/>
    <x v="0"/>
    <n v="0"/>
    <m/>
    <n v="0"/>
    <m/>
    <m/>
    <m/>
    <m/>
    <m/>
    <n v="0"/>
    <n v="0"/>
    <x v="1"/>
    <m/>
  </r>
  <r>
    <s v="3MUNICIPAL"/>
    <s v="P2052"/>
    <x v="3"/>
    <x v="0"/>
    <n v="5360.21"/>
    <m/>
    <n v="5360.21"/>
    <n v="45040"/>
    <n v="12090.75"/>
    <n v="7135.21"/>
    <n v="5360.21"/>
    <m/>
    <n v="0"/>
    <n v="0"/>
    <x v="1"/>
    <m/>
  </r>
  <r>
    <s v="3MUNICIPAL"/>
    <s v="P2089"/>
    <x v="2"/>
    <x v="0"/>
    <n v="0"/>
    <m/>
    <n v="0"/>
    <m/>
    <m/>
    <m/>
    <m/>
    <m/>
    <n v="27855.18"/>
    <n v="27855.18"/>
    <x v="1"/>
    <m/>
  </r>
  <r>
    <m/>
    <m/>
    <x v="7"/>
    <x v="10"/>
    <m/>
    <m/>
    <m/>
    <m/>
    <m/>
    <m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1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H6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axis="axisRow" showAll="0">
      <items count="5">
        <item x="1"/>
        <item m="1" x="3"/>
        <item x="0"/>
        <item h="1" x="2"/>
        <item t="default"/>
      </items>
    </pivotField>
    <pivotField dataField="1" showAll="0" defaultSubtotal="0"/>
  </pivotFields>
  <rowFields count="1">
    <field x="14"/>
  </rowFields>
  <rowItems count="3">
    <i>
      <x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oma de ANTERIOR" fld="12" baseField="14" baseItem="0" numFmtId="164"/>
    <dataField name="Soma de ATUAL" fld="13" baseField="14" baseItem="0" numFmtId="164"/>
    <dataField name="Soma de DOTACAO" fld="7" baseField="14" baseItem="0" numFmtId="164"/>
    <dataField name="Soma de EMPENHANDO" fld="8" baseField="14" baseItem="0" numFmtId="164"/>
    <dataField name="Soma de LIQUIDADO" fld="9" baseField="14" baseItem="0" numFmtId="164"/>
    <dataField name="Soma de PAGO" fld="10" baseField="14" baseItem="0" numFmtId="164"/>
    <dataField name="Soma de ORCADO PROX ANO" fld="15" baseField="14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E26" firstHeaderRow="1" firstDataRow="2" firstDataCol="1"/>
  <pivotFields count="15">
    <pivotField axis="axisCol" showAll="0">
      <items count="8">
        <item m="1" x="5"/>
        <item m="1" x="4"/>
        <item m="1" x="6"/>
        <item h="1" x="3"/>
        <item x="1"/>
        <item x="0"/>
        <item x="2"/>
        <item t="default"/>
      </items>
    </pivotField>
    <pivotField showAll="0"/>
    <pivotField axis="axisRow" showAll="0">
      <items count="9">
        <item x="0"/>
        <item x="4"/>
        <item x="1"/>
        <item x="5"/>
        <item x="2"/>
        <item x="6"/>
        <item x="3"/>
        <item x="7"/>
        <item t="default"/>
      </items>
    </pivotField>
    <pivotField axis="axisRow" showAll="0">
      <items count="14">
        <item x="6"/>
        <item x="1"/>
        <item m="1" x="11"/>
        <item x="9"/>
        <item x="2"/>
        <item m="1" x="12"/>
        <item x="0"/>
        <item x="3"/>
        <item x="5"/>
        <item x="4"/>
        <item x="8"/>
        <item x="7"/>
        <item x="10"/>
        <item t="default"/>
      </items>
    </pivotField>
    <pivotField dataField="1"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22">
    <i>
      <x/>
    </i>
    <i r="1">
      <x/>
    </i>
    <i r="1">
      <x v="6"/>
    </i>
    <i r="1">
      <x v="7"/>
    </i>
    <i r="1">
      <x v="8"/>
    </i>
    <i r="1">
      <x v="9"/>
    </i>
    <i>
      <x v="1"/>
    </i>
    <i r="1">
      <x v="1"/>
    </i>
    <i>
      <x v="2"/>
    </i>
    <i r="1">
      <x v="3"/>
    </i>
    <i r="1">
      <x v="6"/>
    </i>
    <i>
      <x v="3"/>
    </i>
    <i r="1">
      <x v="4"/>
    </i>
    <i>
      <x v="4"/>
    </i>
    <i r="1">
      <x v="6"/>
    </i>
    <i r="1">
      <x v="11"/>
    </i>
    <i>
      <x v="5"/>
    </i>
    <i r="1">
      <x v="6"/>
    </i>
    <i>
      <x v="6"/>
    </i>
    <i r="1">
      <x v="6"/>
    </i>
    <i r="1">
      <x v="10"/>
    </i>
    <i t="grand">
      <x/>
    </i>
  </rowItems>
  <colFields count="1">
    <field x="0"/>
  </colFields>
  <colItems count="4">
    <i>
      <x v="4"/>
    </i>
    <i>
      <x v="5"/>
    </i>
    <i>
      <x v="6"/>
    </i>
    <i t="grand">
      <x/>
    </i>
  </colItems>
  <dataFields count="1">
    <dataField name="Soma de RECEITA" fld="4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25" firstHeaderRow="1" firstDataRow="1" firstDataCol="1"/>
  <pivotFields count="15">
    <pivotField showAll="0"/>
    <pivotField showAll="0"/>
    <pivotField axis="axisRow" showAll="0">
      <items count="9">
        <item x="0"/>
        <item x="4"/>
        <item x="1"/>
        <item x="5"/>
        <item x="2"/>
        <item x="6"/>
        <item x="3"/>
        <item x="7"/>
        <item t="default"/>
      </items>
    </pivotField>
    <pivotField axis="axisRow" showAll="0">
      <items count="14">
        <item x="6"/>
        <item x="1"/>
        <item m="1" x="11"/>
        <item x="9"/>
        <item x="2"/>
        <item m="1" x="12"/>
        <item x="0"/>
        <item x="3"/>
        <item x="5"/>
        <item x="4"/>
        <item x="8"/>
        <item x="7"/>
        <item h="1" x="10"/>
        <item t="default"/>
      </items>
    </pivotField>
    <pivotField showAll="0" defaultSubtota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22">
    <i>
      <x/>
    </i>
    <i r="1">
      <x/>
    </i>
    <i r="1">
      <x v="6"/>
    </i>
    <i r="1">
      <x v="7"/>
    </i>
    <i r="1">
      <x v="8"/>
    </i>
    <i r="1">
      <x v="9"/>
    </i>
    <i>
      <x v="1"/>
    </i>
    <i r="1">
      <x v="1"/>
    </i>
    <i>
      <x v="2"/>
    </i>
    <i r="1">
      <x v="3"/>
    </i>
    <i r="1">
      <x v="6"/>
    </i>
    <i>
      <x v="3"/>
    </i>
    <i r="1">
      <x v="4"/>
    </i>
    <i>
      <x v="4"/>
    </i>
    <i r="1">
      <x v="6"/>
    </i>
    <i r="1">
      <x v="11"/>
    </i>
    <i>
      <x v="5"/>
    </i>
    <i r="1">
      <x v="6"/>
    </i>
    <i>
      <x v="6"/>
    </i>
    <i r="1">
      <x v="6"/>
    </i>
    <i r="1">
      <x v="10"/>
    </i>
    <i t="grand">
      <x/>
    </i>
  </rowItems>
  <colItems count="1">
    <i/>
  </colItems>
  <dataFields count="1">
    <dataField name="Soma de RENDIMENTOS" fld="5" baseField="3" baseItem="7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" cacheId="1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I25" firstHeaderRow="0" firstDataRow="1" firstDataCol="1"/>
  <pivotFields count="16">
    <pivotField showAll="0"/>
    <pivotField showAll="0"/>
    <pivotField axis="axisRow" showAll="0">
      <items count="9">
        <item x="0"/>
        <item x="4"/>
        <item x="1"/>
        <item x="5"/>
        <item x="2"/>
        <item x="6"/>
        <item x="3"/>
        <item h="1" x="7"/>
        <item t="default"/>
      </items>
    </pivotField>
    <pivotField axis="axisRow" showAll="0">
      <items count="14">
        <item x="6"/>
        <item x="1"/>
        <item m="1" x="11"/>
        <item x="9"/>
        <item x="2"/>
        <item m="1" x="12"/>
        <item x="0"/>
        <item x="3"/>
        <item x="5"/>
        <item x="4"/>
        <item x="8"/>
        <item x="7"/>
        <item x="1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 defaultSubtotal="0"/>
  </pivotFields>
  <rowFields count="2">
    <field x="2"/>
    <field x="3"/>
  </rowFields>
  <rowItems count="22">
    <i>
      <x/>
    </i>
    <i r="1">
      <x/>
    </i>
    <i r="1">
      <x v="6"/>
    </i>
    <i r="1">
      <x v="7"/>
    </i>
    <i r="1">
      <x v="8"/>
    </i>
    <i r="1">
      <x v="9"/>
    </i>
    <i>
      <x v="1"/>
    </i>
    <i r="1">
      <x v="1"/>
    </i>
    <i>
      <x v="2"/>
    </i>
    <i r="1">
      <x v="3"/>
    </i>
    <i r="1">
      <x v="6"/>
    </i>
    <i>
      <x v="3"/>
    </i>
    <i r="1">
      <x v="4"/>
    </i>
    <i>
      <x v="4"/>
    </i>
    <i r="1">
      <x v="6"/>
    </i>
    <i r="1">
      <x v="11"/>
    </i>
    <i>
      <x v="5"/>
    </i>
    <i r="1">
      <x v="6"/>
    </i>
    <i>
      <x v="6"/>
    </i>
    <i r="1">
      <x v="6"/>
    </i>
    <i r="1">
      <x v="1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oma de DOTACAO" fld="7" baseField="3" baseItem="0" numFmtId="164"/>
    <dataField name="Soma de EMPENHANDO" fld="8" baseField="3" baseItem="4" numFmtId="164"/>
    <dataField name="Soma de LIQUIDADO" fld="9" baseField="3" baseItem="4" numFmtId="164"/>
    <dataField name="Soma de PAGO" fld="10" baseField="3" baseItem="4" numFmtId="164"/>
    <dataField name="Soma de ORCADO PROX ANO" fld="15" baseField="3" baseItem="8" numFmtId="164"/>
    <dataField name="Soma de RESTOS" fld="11" baseField="3" baseItem="4" numFmtId="164"/>
    <dataField name="Soma de ANTERIOR" fld="12" baseField="3" baseItem="4" numFmtId="164"/>
    <dataField name="Soma de ATUAL" fld="13" baseField="3" baseItem="4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zoomScaleNormal="100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M2" sqref="M2:M43"/>
    </sheetView>
  </sheetViews>
  <sheetFormatPr defaultRowHeight="15" x14ac:dyDescent="0.25"/>
  <cols>
    <col min="1" max="1" width="12" bestFit="1" customWidth="1"/>
    <col min="2" max="2" width="6.140625" bestFit="1" customWidth="1"/>
    <col min="3" max="3" width="24" bestFit="1" customWidth="1"/>
    <col min="4" max="4" width="17.5703125" bestFit="1" customWidth="1"/>
    <col min="5" max="5" width="14.28515625" style="5" bestFit="1" customWidth="1"/>
    <col min="6" max="6" width="18" style="5" bestFit="1" customWidth="1"/>
    <col min="7" max="8" width="14.28515625" style="5" bestFit="1" customWidth="1"/>
    <col min="9" max="9" width="18" style="5" bestFit="1" customWidth="1"/>
    <col min="10" max="10" width="14.85546875" style="5" bestFit="1" customWidth="1"/>
    <col min="11" max="11" width="14.28515625" style="5" bestFit="1" customWidth="1"/>
    <col min="12" max="12" width="12.140625" style="5" bestFit="1" customWidth="1"/>
    <col min="13" max="14" width="14.28515625" style="5" bestFit="1" customWidth="1"/>
    <col min="15" max="15" width="12.140625" bestFit="1" customWidth="1"/>
    <col min="16" max="16" width="22.5703125" style="5" bestFit="1" customWidth="1"/>
    <col min="17" max="17" width="13.28515625" bestFit="1" customWidth="1"/>
    <col min="18" max="18" width="14.28515625" bestFit="1" customWidth="1"/>
  </cols>
  <sheetData>
    <row r="1" spans="1:16" x14ac:dyDescent="0.25">
      <c r="A1" s="2" t="s">
        <v>17</v>
      </c>
      <c r="B1" s="2" t="s">
        <v>0</v>
      </c>
      <c r="C1" s="2" t="s">
        <v>1</v>
      </c>
      <c r="D1" s="2" t="s">
        <v>2</v>
      </c>
      <c r="E1" s="9" t="s">
        <v>39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1" t="s">
        <v>33</v>
      </c>
      <c r="P1" s="9" t="s">
        <v>47</v>
      </c>
    </row>
    <row r="2" spans="1:16" x14ac:dyDescent="0.25">
      <c r="A2" t="s">
        <v>45</v>
      </c>
      <c r="B2">
        <v>4011</v>
      </c>
      <c r="C2" t="s">
        <v>13</v>
      </c>
      <c r="D2" t="s">
        <v>18</v>
      </c>
      <c r="E2" s="5">
        <v>12410.33</v>
      </c>
      <c r="F2" s="5">
        <v>286.79000000000002</v>
      </c>
      <c r="G2" s="5">
        <f t="shared" ref="G2:G25" si="0">SUM(E2:F2)</f>
        <v>12697.12</v>
      </c>
      <c r="M2" s="5">
        <v>11733.729999999996</v>
      </c>
      <c r="N2" s="5">
        <f>M2+G2-K2-L2</f>
        <v>24430.85</v>
      </c>
      <c r="O2" t="s">
        <v>34</v>
      </c>
    </row>
    <row r="3" spans="1:16" x14ac:dyDescent="0.25">
      <c r="A3" t="s">
        <v>45</v>
      </c>
      <c r="B3">
        <v>4050</v>
      </c>
      <c r="C3" t="s">
        <v>14</v>
      </c>
      <c r="D3" t="s">
        <v>18</v>
      </c>
      <c r="E3" s="5">
        <v>1320.62</v>
      </c>
      <c r="F3" s="5">
        <v>109.78</v>
      </c>
      <c r="G3" s="5">
        <f t="shared" si="0"/>
        <v>1430.3999999999999</v>
      </c>
      <c r="H3" s="5">
        <v>15847.44</v>
      </c>
      <c r="M3" s="5">
        <v>5149.21</v>
      </c>
      <c r="N3" s="5">
        <f t="shared" ref="N3:N26" si="1">M3+G3-K3-L3</f>
        <v>6579.61</v>
      </c>
      <c r="O3" t="s">
        <v>34</v>
      </c>
    </row>
    <row r="4" spans="1:16" x14ac:dyDescent="0.25">
      <c r="A4" t="s">
        <v>45</v>
      </c>
      <c r="B4">
        <v>4080</v>
      </c>
      <c r="C4" t="s">
        <v>13</v>
      </c>
      <c r="D4" t="s">
        <v>18</v>
      </c>
      <c r="G4" s="5">
        <f t="shared" si="0"/>
        <v>0</v>
      </c>
      <c r="M4" s="5">
        <v>0</v>
      </c>
      <c r="N4" s="5">
        <f t="shared" si="1"/>
        <v>0</v>
      </c>
      <c r="O4" t="s">
        <v>34</v>
      </c>
    </row>
    <row r="5" spans="1:16" x14ac:dyDescent="0.25">
      <c r="A5" t="s">
        <v>45</v>
      </c>
      <c r="B5">
        <v>4090</v>
      </c>
      <c r="C5" t="s">
        <v>13</v>
      </c>
      <c r="D5" t="s">
        <v>18</v>
      </c>
      <c r="E5" s="5">
        <v>28196</v>
      </c>
      <c r="F5" s="5">
        <v>219.8</v>
      </c>
      <c r="G5" s="5">
        <f t="shared" si="0"/>
        <v>28415.8</v>
      </c>
      <c r="H5" s="5">
        <v>150452.99</v>
      </c>
      <c r="I5" s="5">
        <v>14000</v>
      </c>
      <c r="J5" s="5">
        <v>14000</v>
      </c>
      <c r="K5" s="5">
        <v>14000</v>
      </c>
      <c r="M5" s="5">
        <v>11152.020000000004</v>
      </c>
      <c r="N5" s="5">
        <f t="shared" si="1"/>
        <v>25567.820000000007</v>
      </c>
      <c r="O5" t="s">
        <v>34</v>
      </c>
    </row>
    <row r="6" spans="1:16" x14ac:dyDescent="0.25">
      <c r="A6" t="s">
        <v>45</v>
      </c>
      <c r="B6">
        <v>4110</v>
      </c>
      <c r="C6" t="s">
        <v>13</v>
      </c>
      <c r="D6" t="s">
        <v>18</v>
      </c>
      <c r="G6" s="5">
        <f t="shared" si="0"/>
        <v>0</v>
      </c>
      <c r="M6" s="5">
        <v>0</v>
      </c>
      <c r="N6" s="5">
        <f t="shared" si="1"/>
        <v>0</v>
      </c>
      <c r="O6" t="s">
        <v>34</v>
      </c>
    </row>
    <row r="7" spans="1:16" x14ac:dyDescent="0.25">
      <c r="A7" t="s">
        <v>45</v>
      </c>
      <c r="B7">
        <v>4111</v>
      </c>
      <c r="C7" t="s">
        <v>15</v>
      </c>
      <c r="D7" t="s">
        <v>18</v>
      </c>
      <c r="F7" s="5">
        <v>2577.2399999999998</v>
      </c>
      <c r="G7" s="5">
        <f t="shared" si="0"/>
        <v>2577.2399999999998</v>
      </c>
      <c r="M7" s="5">
        <v>130769.06</v>
      </c>
      <c r="N7" s="5">
        <f t="shared" si="1"/>
        <v>133346.29999999999</v>
      </c>
      <c r="O7" t="s">
        <v>34</v>
      </c>
    </row>
    <row r="8" spans="1:16" x14ac:dyDescent="0.25">
      <c r="A8" t="s">
        <v>45</v>
      </c>
      <c r="B8">
        <v>4160</v>
      </c>
      <c r="C8" t="s">
        <v>13</v>
      </c>
      <c r="D8" t="s">
        <v>18</v>
      </c>
      <c r="E8" s="5">
        <v>2000</v>
      </c>
      <c r="G8" s="5">
        <f t="shared" si="0"/>
        <v>2000</v>
      </c>
      <c r="H8" s="5">
        <v>24000</v>
      </c>
      <c r="I8" s="5">
        <v>2000</v>
      </c>
      <c r="J8" s="5">
        <v>2000</v>
      </c>
      <c r="K8" s="5">
        <v>2000</v>
      </c>
      <c r="M8" s="5">
        <v>0</v>
      </c>
      <c r="N8" s="5">
        <f t="shared" si="1"/>
        <v>0</v>
      </c>
      <c r="O8" t="s">
        <v>34</v>
      </c>
    </row>
    <row r="9" spans="1:16" x14ac:dyDescent="0.25">
      <c r="A9" t="s">
        <v>45</v>
      </c>
      <c r="B9">
        <v>4190</v>
      </c>
      <c r="C9" t="s">
        <v>16</v>
      </c>
      <c r="D9" t="s">
        <v>18</v>
      </c>
      <c r="F9" s="5">
        <v>51.19</v>
      </c>
      <c r="G9" s="5">
        <f t="shared" si="0"/>
        <v>51.19</v>
      </c>
      <c r="M9" s="5">
        <v>2597.37</v>
      </c>
      <c r="N9" s="5">
        <f t="shared" si="1"/>
        <v>2648.56</v>
      </c>
      <c r="O9" t="s">
        <v>34</v>
      </c>
    </row>
    <row r="10" spans="1:16" x14ac:dyDescent="0.25">
      <c r="A10" t="s">
        <v>45</v>
      </c>
      <c r="B10">
        <v>4230</v>
      </c>
      <c r="C10" t="s">
        <v>12</v>
      </c>
      <c r="D10" t="s">
        <v>12</v>
      </c>
      <c r="G10" s="5">
        <f t="shared" si="0"/>
        <v>0</v>
      </c>
      <c r="M10" s="5">
        <v>0</v>
      </c>
      <c r="N10" s="5">
        <f t="shared" si="1"/>
        <v>0</v>
      </c>
      <c r="O10" t="s">
        <v>34</v>
      </c>
    </row>
    <row r="11" spans="1:16" x14ac:dyDescent="0.25">
      <c r="A11" t="s">
        <v>45</v>
      </c>
      <c r="B11">
        <v>4234</v>
      </c>
      <c r="C11" t="s">
        <v>38</v>
      </c>
      <c r="D11" t="s">
        <v>38</v>
      </c>
      <c r="G11" s="5">
        <f t="shared" si="0"/>
        <v>0</v>
      </c>
      <c r="M11" s="5">
        <v>0</v>
      </c>
      <c r="N11" s="5">
        <f t="shared" si="1"/>
        <v>0</v>
      </c>
      <c r="O11" t="s">
        <v>34</v>
      </c>
    </row>
    <row r="12" spans="1:16" x14ac:dyDescent="0.25">
      <c r="A12" t="s">
        <v>45</v>
      </c>
      <c r="B12">
        <v>4292</v>
      </c>
      <c r="C12" t="s">
        <v>38</v>
      </c>
      <c r="D12" t="s">
        <v>38</v>
      </c>
      <c r="G12" s="5">
        <f t="shared" si="0"/>
        <v>0</v>
      </c>
      <c r="M12" s="5">
        <v>0</v>
      </c>
      <c r="N12" s="5">
        <f t="shared" si="1"/>
        <v>0</v>
      </c>
      <c r="O12" t="s">
        <v>34</v>
      </c>
    </row>
    <row r="13" spans="1:16" x14ac:dyDescent="0.25">
      <c r="A13" t="s">
        <v>45</v>
      </c>
      <c r="B13">
        <v>4303</v>
      </c>
      <c r="C13" t="s">
        <v>12</v>
      </c>
      <c r="D13" t="s">
        <v>12</v>
      </c>
      <c r="F13" s="5">
        <v>697.93</v>
      </c>
      <c r="G13" s="5">
        <f t="shared" si="0"/>
        <v>697.93</v>
      </c>
      <c r="M13" s="5">
        <v>35413.430000000008</v>
      </c>
      <c r="N13" s="5">
        <f t="shared" si="1"/>
        <v>36111.360000000008</v>
      </c>
      <c r="O13" t="s">
        <v>34</v>
      </c>
    </row>
    <row r="14" spans="1:16" x14ac:dyDescent="0.25">
      <c r="A14" t="s">
        <v>43</v>
      </c>
      <c r="B14">
        <v>4510</v>
      </c>
      <c r="C14" t="s">
        <v>13</v>
      </c>
      <c r="D14" t="s">
        <v>19</v>
      </c>
      <c r="E14" s="5">
        <v>45597.99</v>
      </c>
      <c r="F14" s="5">
        <v>344.97</v>
      </c>
      <c r="G14" s="5">
        <f t="shared" si="0"/>
        <v>45942.96</v>
      </c>
      <c r="H14" s="5">
        <v>203675.87</v>
      </c>
      <c r="I14" s="5">
        <v>46529</v>
      </c>
      <c r="J14" s="5">
        <v>23633.49</v>
      </c>
      <c r="K14" s="5">
        <v>20812.68</v>
      </c>
      <c r="M14" s="5">
        <v>2173.0400000000373</v>
      </c>
      <c r="N14" s="5">
        <f t="shared" si="1"/>
        <v>27303.320000000036</v>
      </c>
      <c r="O14" t="s">
        <v>34</v>
      </c>
    </row>
    <row r="15" spans="1:16" x14ac:dyDescent="0.25">
      <c r="A15" t="s">
        <v>43</v>
      </c>
      <c r="B15">
        <v>4520</v>
      </c>
      <c r="C15" t="s">
        <v>13</v>
      </c>
      <c r="D15" t="s">
        <v>20</v>
      </c>
      <c r="E15" s="5">
        <v>59572</v>
      </c>
      <c r="F15" s="5">
        <v>10.06</v>
      </c>
      <c r="G15" s="5">
        <f t="shared" si="0"/>
        <v>59582.06</v>
      </c>
      <c r="H15" s="5">
        <v>385824</v>
      </c>
      <c r="I15" s="5">
        <v>50387.69</v>
      </c>
      <c r="J15" s="5">
        <v>50387.69</v>
      </c>
      <c r="K15" s="5">
        <v>50387.69</v>
      </c>
      <c r="M15" s="5">
        <v>0</v>
      </c>
      <c r="N15" s="5">
        <f t="shared" si="1"/>
        <v>9194.3699999999953</v>
      </c>
      <c r="O15" t="s">
        <v>34</v>
      </c>
    </row>
    <row r="16" spans="1:16" x14ac:dyDescent="0.25">
      <c r="A16" t="s">
        <v>43</v>
      </c>
      <c r="B16">
        <v>4530</v>
      </c>
      <c r="C16" t="s">
        <v>13</v>
      </c>
      <c r="D16" t="s">
        <v>21</v>
      </c>
      <c r="G16" s="5">
        <f t="shared" si="0"/>
        <v>0</v>
      </c>
      <c r="M16" s="5">
        <v>0</v>
      </c>
      <c r="N16" s="5">
        <f t="shared" si="1"/>
        <v>0</v>
      </c>
      <c r="O16" t="s">
        <v>34</v>
      </c>
    </row>
    <row r="17" spans="1:18" x14ac:dyDescent="0.25">
      <c r="A17" t="s">
        <v>43</v>
      </c>
      <c r="B17">
        <v>4540</v>
      </c>
      <c r="C17" t="s">
        <v>13</v>
      </c>
      <c r="D17" t="s">
        <v>22</v>
      </c>
      <c r="G17" s="5">
        <f t="shared" si="0"/>
        <v>0</v>
      </c>
      <c r="M17" s="5">
        <v>0</v>
      </c>
      <c r="N17" s="5">
        <f t="shared" si="1"/>
        <v>0</v>
      </c>
      <c r="O17" t="s">
        <v>34</v>
      </c>
    </row>
    <row r="18" spans="1:18" x14ac:dyDescent="0.25">
      <c r="A18" t="s">
        <v>43</v>
      </c>
      <c r="B18">
        <v>4590</v>
      </c>
      <c r="C18" t="s">
        <v>15</v>
      </c>
      <c r="D18" t="s">
        <v>37</v>
      </c>
      <c r="F18" s="5">
        <v>848.02</v>
      </c>
      <c r="G18" s="5">
        <f t="shared" si="0"/>
        <v>848.02</v>
      </c>
      <c r="L18" s="5">
        <v>5200</v>
      </c>
      <c r="M18" s="5">
        <v>50122.95</v>
      </c>
      <c r="N18" s="5">
        <f t="shared" si="1"/>
        <v>45770.969999999994</v>
      </c>
      <c r="O18" t="s">
        <v>34</v>
      </c>
    </row>
    <row r="19" spans="1:18" x14ac:dyDescent="0.25">
      <c r="A19" t="s">
        <v>43</v>
      </c>
      <c r="B19">
        <v>4710</v>
      </c>
      <c r="C19" t="s">
        <v>16</v>
      </c>
      <c r="D19" t="s">
        <v>23</v>
      </c>
      <c r="E19" s="5">
        <v>12699.11</v>
      </c>
      <c r="F19" s="5">
        <v>548.1</v>
      </c>
      <c r="G19" s="5">
        <f t="shared" si="0"/>
        <v>13247.210000000001</v>
      </c>
      <c r="H19" s="5">
        <v>34040.61</v>
      </c>
      <c r="I19" s="5">
        <v>8187.3</v>
      </c>
      <c r="J19" s="5">
        <v>8187.3</v>
      </c>
      <c r="K19" s="5">
        <v>8187.3</v>
      </c>
      <c r="M19" s="5">
        <v>30560.35</v>
      </c>
      <c r="N19" s="5">
        <f t="shared" si="1"/>
        <v>35620.259999999995</v>
      </c>
      <c r="O19" t="s">
        <v>34</v>
      </c>
    </row>
    <row r="20" spans="1:18" x14ac:dyDescent="0.25">
      <c r="A20" t="s">
        <v>43</v>
      </c>
      <c r="B20">
        <v>4720</v>
      </c>
      <c r="C20" t="s">
        <v>16</v>
      </c>
      <c r="D20" t="s">
        <v>23</v>
      </c>
      <c r="F20" s="5">
        <v>210.72</v>
      </c>
      <c r="G20" s="5">
        <f t="shared" si="0"/>
        <v>210.72</v>
      </c>
      <c r="M20" s="5">
        <v>12010.56</v>
      </c>
      <c r="N20" s="5">
        <f t="shared" si="1"/>
        <v>12221.279999999999</v>
      </c>
      <c r="O20" t="s">
        <v>34</v>
      </c>
    </row>
    <row r="21" spans="1:18" x14ac:dyDescent="0.25">
      <c r="A21" t="s">
        <v>43</v>
      </c>
      <c r="B21">
        <v>4730</v>
      </c>
      <c r="C21" t="s">
        <v>16</v>
      </c>
      <c r="D21" t="s">
        <v>23</v>
      </c>
      <c r="G21" s="5">
        <f t="shared" si="0"/>
        <v>0</v>
      </c>
      <c r="M21" s="5">
        <v>0</v>
      </c>
      <c r="N21" s="5">
        <f t="shared" si="1"/>
        <v>0</v>
      </c>
      <c r="O21" t="s">
        <v>34</v>
      </c>
    </row>
    <row r="22" spans="1:18" x14ac:dyDescent="0.25">
      <c r="A22" t="s">
        <v>43</v>
      </c>
      <c r="B22">
        <v>4760</v>
      </c>
      <c r="C22" t="s">
        <v>16</v>
      </c>
      <c r="D22" t="s">
        <v>23</v>
      </c>
      <c r="F22" s="5">
        <v>266.13</v>
      </c>
      <c r="G22" s="5">
        <f t="shared" si="0"/>
        <v>266.13</v>
      </c>
      <c r="H22" s="5">
        <v>1377.4</v>
      </c>
      <c r="M22" s="5">
        <v>19721.699999999997</v>
      </c>
      <c r="N22" s="5">
        <f t="shared" si="1"/>
        <v>19987.829999999998</v>
      </c>
      <c r="O22" t="s">
        <v>34</v>
      </c>
    </row>
    <row r="23" spans="1:18" x14ac:dyDescent="0.25">
      <c r="A23" t="s">
        <v>43</v>
      </c>
      <c r="B23">
        <v>4503</v>
      </c>
      <c r="C23" t="s">
        <v>14</v>
      </c>
      <c r="D23" t="s">
        <v>24</v>
      </c>
      <c r="E23" s="5">
        <v>8561.64</v>
      </c>
      <c r="F23" s="5">
        <v>431.03</v>
      </c>
      <c r="G23" s="5">
        <f t="shared" si="0"/>
        <v>8992.67</v>
      </c>
      <c r="H23" s="5">
        <v>36792.199999999997</v>
      </c>
      <c r="M23" s="5">
        <v>25329.909999999996</v>
      </c>
      <c r="N23" s="5">
        <f t="shared" si="1"/>
        <v>34322.579999999994</v>
      </c>
      <c r="O23" t="s">
        <v>34</v>
      </c>
    </row>
    <row r="24" spans="1:18" x14ac:dyDescent="0.25">
      <c r="A24" t="s">
        <v>43</v>
      </c>
      <c r="B24">
        <v>4931</v>
      </c>
      <c r="C24" t="s">
        <v>38</v>
      </c>
      <c r="D24" t="s">
        <v>38</v>
      </c>
      <c r="F24" s="5">
        <v>1840.92</v>
      </c>
      <c r="G24" s="5">
        <f t="shared" si="0"/>
        <v>1840.92</v>
      </c>
      <c r="H24" s="5">
        <v>100000</v>
      </c>
      <c r="M24" s="5">
        <v>100000</v>
      </c>
      <c r="N24" s="5">
        <f t="shared" si="1"/>
        <v>101840.92</v>
      </c>
      <c r="O24" t="s">
        <v>34</v>
      </c>
    </row>
    <row r="25" spans="1:18" x14ac:dyDescent="0.25">
      <c r="A25" t="s">
        <v>43</v>
      </c>
      <c r="B25">
        <v>4935</v>
      </c>
      <c r="C25" t="s">
        <v>12</v>
      </c>
      <c r="D25" t="s">
        <v>12</v>
      </c>
      <c r="F25" s="5">
        <v>29.78</v>
      </c>
      <c r="G25" s="5">
        <f t="shared" si="0"/>
        <v>29.78</v>
      </c>
      <c r="H25" s="5">
        <v>66991.929999999993</v>
      </c>
      <c r="I25" s="5">
        <v>66991.929999999993</v>
      </c>
      <c r="M25" s="5">
        <v>2206.3699999999953</v>
      </c>
      <c r="N25" s="5">
        <f t="shared" si="1"/>
        <v>2236.1499999999955</v>
      </c>
      <c r="O25" t="s">
        <v>34</v>
      </c>
    </row>
    <row r="26" spans="1:18" x14ac:dyDescent="0.25">
      <c r="A26" t="s">
        <v>44</v>
      </c>
      <c r="B26">
        <v>40</v>
      </c>
      <c r="C26" t="s">
        <v>35</v>
      </c>
      <c r="D26" t="s">
        <v>18</v>
      </c>
      <c r="E26" s="12"/>
      <c r="F26" s="11"/>
      <c r="G26" s="5">
        <f t="shared" ref="G26" si="2">SUM(E26:F26)</f>
        <v>0</v>
      </c>
      <c r="H26" s="11"/>
      <c r="I26" s="11"/>
      <c r="J26" s="11"/>
      <c r="K26" s="11"/>
      <c r="M26" s="5">
        <v>728.88000000000011</v>
      </c>
      <c r="N26" s="5">
        <f t="shared" si="1"/>
        <v>728.88000000000011</v>
      </c>
      <c r="O26" t="s">
        <v>36</v>
      </c>
    </row>
    <row r="27" spans="1:18" x14ac:dyDescent="0.25">
      <c r="A27" t="s">
        <v>44</v>
      </c>
      <c r="B27" t="s">
        <v>49</v>
      </c>
      <c r="C27" t="s">
        <v>12</v>
      </c>
      <c r="D27" t="s">
        <v>12</v>
      </c>
      <c r="E27" s="5">
        <v>0</v>
      </c>
      <c r="G27" s="5">
        <f t="shared" ref="G27:G43" si="3">SUM(E27:F27)</f>
        <v>0</v>
      </c>
      <c r="M27" s="5">
        <v>4000</v>
      </c>
      <c r="N27" s="5">
        <f t="shared" ref="N27" si="4">M27+G27-K27-L27</f>
        <v>4000</v>
      </c>
      <c r="O27" t="s">
        <v>36</v>
      </c>
      <c r="Q27" s="10"/>
      <c r="R27" s="10"/>
    </row>
    <row r="28" spans="1:18" x14ac:dyDescent="0.25">
      <c r="A28" t="s">
        <v>44</v>
      </c>
      <c r="B28" t="s">
        <v>50</v>
      </c>
      <c r="C28" t="s">
        <v>12</v>
      </c>
      <c r="D28" t="s">
        <v>12</v>
      </c>
      <c r="E28" s="5">
        <v>0</v>
      </c>
      <c r="G28" s="5">
        <f t="shared" si="3"/>
        <v>0</v>
      </c>
      <c r="M28" s="5">
        <v>0</v>
      </c>
      <c r="N28" s="5">
        <f t="shared" ref="N28" si="5">M28+G28-K28-L28</f>
        <v>0</v>
      </c>
      <c r="O28" t="s">
        <v>36</v>
      </c>
      <c r="Q28" s="10"/>
      <c r="R28" s="10"/>
    </row>
    <row r="29" spans="1:18" x14ac:dyDescent="0.25">
      <c r="A29" t="s">
        <v>44</v>
      </c>
      <c r="B29" t="s">
        <v>51</v>
      </c>
      <c r="C29" t="s">
        <v>13</v>
      </c>
      <c r="D29" t="s">
        <v>18</v>
      </c>
      <c r="E29" s="5">
        <v>5086.6000000000004</v>
      </c>
      <c r="G29" s="5">
        <f t="shared" si="3"/>
        <v>5086.6000000000004</v>
      </c>
      <c r="H29" s="5">
        <v>40000</v>
      </c>
      <c r="I29" s="5">
        <v>30519.599999999999</v>
      </c>
      <c r="J29" s="5">
        <v>5086.6000000000004</v>
      </c>
      <c r="K29" s="5">
        <v>5086.6000000000004</v>
      </c>
      <c r="M29" s="5">
        <v>0</v>
      </c>
      <c r="N29" s="5">
        <f t="shared" ref="N29:N30" si="6">M29+G29-K29-L29</f>
        <v>0</v>
      </c>
      <c r="O29" t="s">
        <v>36</v>
      </c>
      <c r="Q29" s="10"/>
      <c r="R29" s="10"/>
    </row>
    <row r="30" spans="1:18" x14ac:dyDescent="0.25">
      <c r="A30" t="s">
        <v>44</v>
      </c>
      <c r="B30" t="s">
        <v>64</v>
      </c>
      <c r="C30" t="s">
        <v>13</v>
      </c>
      <c r="D30" t="s">
        <v>18</v>
      </c>
      <c r="E30" s="5">
        <v>0</v>
      </c>
      <c r="G30" s="5">
        <f t="shared" si="3"/>
        <v>0</v>
      </c>
      <c r="M30" s="5">
        <v>0</v>
      </c>
      <c r="N30" s="5">
        <f t="shared" si="6"/>
        <v>0</v>
      </c>
      <c r="O30" t="s">
        <v>36</v>
      </c>
      <c r="Q30" s="10"/>
      <c r="R30" s="10"/>
    </row>
    <row r="31" spans="1:18" x14ac:dyDescent="0.25">
      <c r="A31" t="s">
        <v>44</v>
      </c>
      <c r="B31" t="s">
        <v>52</v>
      </c>
      <c r="C31" t="s">
        <v>35</v>
      </c>
      <c r="D31" t="s">
        <v>18</v>
      </c>
      <c r="E31" s="5">
        <v>123847.85</v>
      </c>
      <c r="G31" s="5">
        <f t="shared" si="3"/>
        <v>123847.85</v>
      </c>
      <c r="H31" s="5">
        <v>661535</v>
      </c>
      <c r="I31" s="5">
        <v>170615.13</v>
      </c>
      <c r="J31" s="5">
        <v>133309.43</v>
      </c>
      <c r="K31" s="5">
        <v>123847.85</v>
      </c>
      <c r="M31" s="5">
        <v>0</v>
      </c>
      <c r="N31" s="5">
        <f t="shared" ref="N31:N43" si="7">M31+G31-K31-L31</f>
        <v>0</v>
      </c>
      <c r="O31" t="s">
        <v>36</v>
      </c>
      <c r="Q31" s="10"/>
      <c r="R31" s="10"/>
    </row>
    <row r="32" spans="1:18" x14ac:dyDescent="0.25">
      <c r="A32" t="s">
        <v>44</v>
      </c>
      <c r="B32" t="s">
        <v>53</v>
      </c>
      <c r="C32" t="s">
        <v>13</v>
      </c>
      <c r="D32" t="s">
        <v>18</v>
      </c>
      <c r="E32" s="5">
        <v>20863.05</v>
      </c>
      <c r="G32" s="5">
        <f t="shared" si="3"/>
        <v>20863.05</v>
      </c>
      <c r="H32" s="5">
        <v>180760</v>
      </c>
      <c r="I32" s="5">
        <v>28138.57</v>
      </c>
      <c r="J32" s="5">
        <v>28138.57</v>
      </c>
      <c r="K32" s="5">
        <v>20863.05</v>
      </c>
      <c r="M32" s="5">
        <v>0</v>
      </c>
      <c r="N32" s="5">
        <f t="shared" si="7"/>
        <v>0</v>
      </c>
      <c r="O32" t="s">
        <v>36</v>
      </c>
      <c r="Q32" s="10"/>
      <c r="R32" s="10"/>
    </row>
    <row r="33" spans="1:18" x14ac:dyDescent="0.25">
      <c r="A33" t="s">
        <v>44</v>
      </c>
      <c r="B33" t="s">
        <v>54</v>
      </c>
      <c r="C33" t="s">
        <v>13</v>
      </c>
      <c r="D33" t="s">
        <v>18</v>
      </c>
      <c r="E33" s="5">
        <v>30207.67</v>
      </c>
      <c r="G33" s="5">
        <f t="shared" si="3"/>
        <v>30207.67</v>
      </c>
      <c r="H33" s="5">
        <v>460630</v>
      </c>
      <c r="I33" s="5">
        <v>129385.87</v>
      </c>
      <c r="J33" s="5">
        <v>55546.32</v>
      </c>
      <c r="K33" s="5">
        <v>30207.67</v>
      </c>
      <c r="M33" s="5">
        <v>0</v>
      </c>
      <c r="N33" s="5">
        <f t="shared" si="7"/>
        <v>0</v>
      </c>
      <c r="O33" t="s">
        <v>36</v>
      </c>
      <c r="Q33" s="10"/>
      <c r="R33" s="10"/>
    </row>
    <row r="34" spans="1:18" x14ac:dyDescent="0.25">
      <c r="A34" t="s">
        <v>44</v>
      </c>
      <c r="B34" t="s">
        <v>55</v>
      </c>
      <c r="C34" t="s">
        <v>13</v>
      </c>
      <c r="D34" t="s">
        <v>18</v>
      </c>
      <c r="E34" s="5">
        <v>43464.7</v>
      </c>
      <c r="G34" s="5">
        <f t="shared" si="3"/>
        <v>43464.7</v>
      </c>
      <c r="H34" s="5">
        <v>282630</v>
      </c>
      <c r="I34" s="5">
        <v>47391.51</v>
      </c>
      <c r="J34" s="5">
        <v>47391.51</v>
      </c>
      <c r="K34" s="5">
        <v>43464.7</v>
      </c>
      <c r="M34" s="5">
        <v>0</v>
      </c>
      <c r="N34" s="5">
        <f t="shared" si="7"/>
        <v>0</v>
      </c>
      <c r="O34" t="s">
        <v>36</v>
      </c>
      <c r="Q34" s="10"/>
      <c r="R34" s="10"/>
    </row>
    <row r="35" spans="1:18" x14ac:dyDescent="0.25">
      <c r="A35" t="s">
        <v>44</v>
      </c>
      <c r="B35" t="s">
        <v>56</v>
      </c>
      <c r="C35" t="s">
        <v>14</v>
      </c>
      <c r="D35" t="s">
        <v>18</v>
      </c>
      <c r="E35" s="5">
        <v>0</v>
      </c>
      <c r="G35" s="5">
        <f t="shared" si="3"/>
        <v>0</v>
      </c>
      <c r="H35" s="5">
        <v>115000</v>
      </c>
      <c r="I35" s="5">
        <v>2895.62</v>
      </c>
      <c r="M35" s="5">
        <v>0</v>
      </c>
      <c r="N35" s="5">
        <f t="shared" si="7"/>
        <v>0</v>
      </c>
      <c r="O35" t="s">
        <v>36</v>
      </c>
      <c r="Q35" s="10"/>
      <c r="R35" s="10"/>
    </row>
    <row r="36" spans="1:18" x14ac:dyDescent="0.25">
      <c r="A36" t="s">
        <v>44</v>
      </c>
      <c r="B36" t="s">
        <v>57</v>
      </c>
      <c r="C36" t="s">
        <v>13</v>
      </c>
      <c r="D36" t="s">
        <v>18</v>
      </c>
      <c r="E36" s="5">
        <v>44687.99</v>
      </c>
      <c r="G36" s="5">
        <f t="shared" si="3"/>
        <v>44687.99</v>
      </c>
      <c r="H36" s="5">
        <v>316630</v>
      </c>
      <c r="I36" s="5">
        <v>50157.84</v>
      </c>
      <c r="J36" s="5">
        <v>49842.84</v>
      </c>
      <c r="K36" s="5">
        <v>44687.99</v>
      </c>
      <c r="M36" s="5">
        <v>0</v>
      </c>
      <c r="N36" s="5">
        <f t="shared" si="7"/>
        <v>0</v>
      </c>
      <c r="O36" t="s">
        <v>36</v>
      </c>
      <c r="Q36" s="10"/>
      <c r="R36" s="10"/>
    </row>
    <row r="37" spans="1:18" x14ac:dyDescent="0.25">
      <c r="A37" t="s">
        <v>44</v>
      </c>
      <c r="B37" t="s">
        <v>58</v>
      </c>
      <c r="C37" t="s">
        <v>15</v>
      </c>
      <c r="D37" t="s">
        <v>18</v>
      </c>
      <c r="E37" s="5">
        <v>19345.650000000001</v>
      </c>
      <c r="G37" s="5">
        <f t="shared" si="3"/>
        <v>19345.650000000001</v>
      </c>
      <c r="H37" s="5">
        <v>555000</v>
      </c>
      <c r="I37" s="5">
        <v>368337.4</v>
      </c>
      <c r="J37" s="5">
        <v>19570.650000000001</v>
      </c>
      <c r="K37" s="5">
        <v>19345.650000000001</v>
      </c>
      <c r="M37" s="5">
        <v>0</v>
      </c>
      <c r="N37" s="5">
        <f t="shared" si="7"/>
        <v>0</v>
      </c>
      <c r="O37" t="s">
        <v>36</v>
      </c>
      <c r="Q37" s="10"/>
      <c r="R37" s="10"/>
    </row>
    <row r="38" spans="1:18" x14ac:dyDescent="0.25">
      <c r="A38" t="s">
        <v>44</v>
      </c>
      <c r="B38" t="s">
        <v>59</v>
      </c>
      <c r="C38" t="s">
        <v>13</v>
      </c>
      <c r="D38" t="s">
        <v>18</v>
      </c>
      <c r="E38" s="5">
        <v>63902.43</v>
      </c>
      <c r="G38" s="5">
        <f t="shared" si="3"/>
        <v>63902.43</v>
      </c>
      <c r="H38" s="5">
        <v>458206.01</v>
      </c>
      <c r="I38" s="5">
        <v>154321.43</v>
      </c>
      <c r="J38" s="5">
        <v>67035.850000000006</v>
      </c>
      <c r="K38" s="5">
        <v>63902.43</v>
      </c>
      <c r="M38" s="5">
        <v>0</v>
      </c>
      <c r="N38" s="5">
        <f t="shared" si="7"/>
        <v>0</v>
      </c>
      <c r="O38" t="s">
        <v>36</v>
      </c>
      <c r="Q38" s="10"/>
      <c r="R38" s="10"/>
    </row>
    <row r="39" spans="1:18" x14ac:dyDescent="0.25">
      <c r="A39" t="s">
        <v>44</v>
      </c>
      <c r="B39" t="s">
        <v>60</v>
      </c>
      <c r="C39" t="s">
        <v>13</v>
      </c>
      <c r="D39" t="s">
        <v>18</v>
      </c>
      <c r="E39" s="5">
        <v>3412.45</v>
      </c>
      <c r="G39" s="5">
        <f t="shared" si="3"/>
        <v>3412.45</v>
      </c>
      <c r="H39" s="5">
        <v>41700</v>
      </c>
      <c r="I39" s="5">
        <v>4115.37</v>
      </c>
      <c r="J39" s="5">
        <v>4115.37</v>
      </c>
      <c r="K39" s="5">
        <v>3412.45</v>
      </c>
      <c r="M39" s="5">
        <v>0</v>
      </c>
      <c r="N39" s="5">
        <f t="shared" si="7"/>
        <v>0</v>
      </c>
      <c r="O39" t="s">
        <v>36</v>
      </c>
      <c r="Q39" s="10"/>
      <c r="R39" s="10"/>
    </row>
    <row r="40" spans="1:18" x14ac:dyDescent="0.25">
      <c r="A40" t="s">
        <v>44</v>
      </c>
      <c r="B40" t="s">
        <v>61</v>
      </c>
      <c r="C40" t="s">
        <v>16</v>
      </c>
      <c r="D40" t="s">
        <v>18</v>
      </c>
      <c r="E40" s="5">
        <v>0</v>
      </c>
      <c r="G40" s="5">
        <f t="shared" si="3"/>
        <v>0</v>
      </c>
      <c r="M40" s="5">
        <v>0</v>
      </c>
      <c r="N40" s="5">
        <f t="shared" si="7"/>
        <v>0</v>
      </c>
      <c r="O40" t="s">
        <v>36</v>
      </c>
      <c r="Q40" s="10"/>
      <c r="R40" s="10"/>
    </row>
    <row r="41" spans="1:18" x14ac:dyDescent="0.25">
      <c r="A41" t="s">
        <v>44</v>
      </c>
      <c r="B41" t="s">
        <v>62</v>
      </c>
      <c r="C41" t="s">
        <v>16</v>
      </c>
      <c r="D41" t="s">
        <v>18</v>
      </c>
      <c r="E41" s="5">
        <v>0</v>
      </c>
      <c r="G41" s="5">
        <f t="shared" si="3"/>
        <v>0</v>
      </c>
      <c r="M41" s="5">
        <v>0</v>
      </c>
      <c r="N41" s="5">
        <f t="shared" si="7"/>
        <v>0</v>
      </c>
      <c r="O41" t="s">
        <v>36</v>
      </c>
      <c r="Q41" s="10"/>
      <c r="R41" s="10"/>
    </row>
    <row r="42" spans="1:18" x14ac:dyDescent="0.25">
      <c r="A42" t="s">
        <v>44</v>
      </c>
      <c r="B42" t="s">
        <v>63</v>
      </c>
      <c r="C42" t="s">
        <v>16</v>
      </c>
      <c r="D42" t="s">
        <v>18</v>
      </c>
      <c r="E42" s="5">
        <v>5360.21</v>
      </c>
      <c r="G42" s="5">
        <f t="shared" si="3"/>
        <v>5360.21</v>
      </c>
      <c r="H42" s="5">
        <v>45040</v>
      </c>
      <c r="I42" s="5">
        <v>12090.75</v>
      </c>
      <c r="J42" s="5">
        <v>7135.21</v>
      </c>
      <c r="K42" s="5">
        <v>5360.21</v>
      </c>
      <c r="M42" s="5">
        <v>0</v>
      </c>
      <c r="N42" s="5">
        <f t="shared" si="7"/>
        <v>0</v>
      </c>
      <c r="O42" t="s">
        <v>36</v>
      </c>
      <c r="Q42" s="10"/>
      <c r="R42" s="10"/>
    </row>
    <row r="43" spans="1:18" x14ac:dyDescent="0.25">
      <c r="A43" t="s">
        <v>44</v>
      </c>
      <c r="B43" t="s">
        <v>65</v>
      </c>
      <c r="C43" t="s">
        <v>15</v>
      </c>
      <c r="D43" t="s">
        <v>18</v>
      </c>
      <c r="E43" s="5">
        <v>0</v>
      </c>
      <c r="G43" s="5">
        <f t="shared" si="3"/>
        <v>0</v>
      </c>
      <c r="I43" s="11"/>
      <c r="J43" s="11"/>
      <c r="K43" s="11"/>
      <c r="L43" s="11"/>
      <c r="M43" s="5">
        <v>27855.18</v>
      </c>
      <c r="N43" s="5">
        <f t="shared" si="7"/>
        <v>27855.18</v>
      </c>
      <c r="O43" t="s">
        <v>36</v>
      </c>
      <c r="Q43" s="10"/>
      <c r="R43" s="10"/>
    </row>
  </sheetData>
  <autoFilter ref="A1:P43"/>
  <sortState ref="A2:P24">
    <sortCondition ref="B2:B2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H6"/>
  <sheetViews>
    <sheetView workbookViewId="0">
      <selection activeCell="C5" sqref="C5"/>
    </sheetView>
  </sheetViews>
  <sheetFormatPr defaultRowHeight="15" x14ac:dyDescent="0.25"/>
  <cols>
    <col min="1" max="1" width="18" bestFit="1" customWidth="1"/>
    <col min="2" max="2" width="18.28515625" customWidth="1"/>
    <col min="3" max="3" width="15" bestFit="1" customWidth="1"/>
    <col min="4" max="4" width="18.140625" customWidth="1"/>
    <col min="5" max="5" width="22.5703125" customWidth="1"/>
    <col min="6" max="6" width="19.42578125" customWidth="1"/>
    <col min="7" max="7" width="14.42578125" customWidth="1"/>
    <col min="8" max="8" width="27.140625" bestFit="1" customWidth="1"/>
  </cols>
  <sheetData>
    <row r="3" spans="1:8" x14ac:dyDescent="0.25">
      <c r="A3" s="3" t="s">
        <v>25</v>
      </c>
      <c r="B3" t="s">
        <v>31</v>
      </c>
      <c r="C3" t="s">
        <v>32</v>
      </c>
      <c r="D3" t="s">
        <v>27</v>
      </c>
      <c r="E3" t="s">
        <v>28</v>
      </c>
      <c r="F3" t="s">
        <v>29</v>
      </c>
      <c r="G3" t="s">
        <v>30</v>
      </c>
      <c r="H3" t="s">
        <v>48</v>
      </c>
    </row>
    <row r="4" spans="1:8" x14ac:dyDescent="0.25">
      <c r="A4" s="4" t="s">
        <v>36</v>
      </c>
      <c r="B4" s="6">
        <v>32584.06</v>
      </c>
      <c r="C4" s="6">
        <v>32584.06</v>
      </c>
      <c r="D4" s="6">
        <v>3157131.01</v>
      </c>
      <c r="E4" s="6">
        <v>997969.09</v>
      </c>
      <c r="F4" s="6">
        <v>417172.35000000003</v>
      </c>
      <c r="G4" s="6">
        <v>360178.60000000003</v>
      </c>
      <c r="H4" s="6"/>
    </row>
    <row r="5" spans="1:8" x14ac:dyDescent="0.25">
      <c r="A5" s="4" t="s">
        <v>34</v>
      </c>
      <c r="B5" s="6">
        <v>438939.7</v>
      </c>
      <c r="C5" s="6">
        <v>517182.18000000011</v>
      </c>
      <c r="D5" s="6">
        <v>1019002.44</v>
      </c>
      <c r="E5" s="6">
        <v>188095.91999999998</v>
      </c>
      <c r="F5" s="6">
        <v>98208.48000000001</v>
      </c>
      <c r="G5" s="6">
        <v>95387.67</v>
      </c>
      <c r="H5" s="6"/>
    </row>
    <row r="6" spans="1:8" x14ac:dyDescent="0.25">
      <c r="A6" s="4" t="s">
        <v>26</v>
      </c>
      <c r="B6" s="6">
        <v>471523.76</v>
      </c>
      <c r="C6" s="6">
        <v>549766.24000000011</v>
      </c>
      <c r="D6" s="6">
        <v>4176133.4499999997</v>
      </c>
      <c r="E6" s="6">
        <v>1186065.01</v>
      </c>
      <c r="F6" s="6">
        <v>515380.83000000007</v>
      </c>
      <c r="G6" s="6">
        <v>455566.27</v>
      </c>
      <c r="H6" s="6"/>
    </row>
  </sheetData>
  <pageMargins left="0.25" right="0.25" top="0.75" bottom="0.75" header="0.3" footer="0.3"/>
  <pageSetup paperSize="9" scale="93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E26"/>
  <sheetViews>
    <sheetView workbookViewId="0">
      <selection activeCell="D19" sqref="D19"/>
    </sheetView>
  </sheetViews>
  <sheetFormatPr defaultRowHeight="15" x14ac:dyDescent="0.25"/>
  <cols>
    <col min="1" max="1" width="26.140625" customWidth="1"/>
    <col min="2" max="2" width="19.5703125" bestFit="1" customWidth="1"/>
    <col min="3" max="3" width="11.7109375" bestFit="1" customWidth="1"/>
    <col min="4" max="5" width="12.7109375" bestFit="1" customWidth="1"/>
    <col min="6" max="6" width="16.28515625" bestFit="1" customWidth="1"/>
    <col min="7" max="7" width="22.5703125" bestFit="1" customWidth="1"/>
    <col min="8" max="8" width="21.42578125" bestFit="1" customWidth="1"/>
    <col min="9" max="9" width="27.5703125" bestFit="1" customWidth="1"/>
    <col min="10" max="10" width="21.42578125" bestFit="1" customWidth="1"/>
    <col min="11" max="11" width="27.5703125" bestFit="1" customWidth="1"/>
    <col min="12" max="12" width="22.5703125" bestFit="1" customWidth="1"/>
    <col min="13" max="13" width="14.7109375" bestFit="1" customWidth="1"/>
    <col min="14" max="14" width="21.42578125" bestFit="1" customWidth="1"/>
    <col min="15" max="15" width="27.5703125" bestFit="1" customWidth="1"/>
    <col min="16" max="16" width="19.7109375" bestFit="1" customWidth="1"/>
    <col min="17" max="17" width="9" customWidth="1"/>
    <col min="18" max="18" width="6" customWidth="1"/>
    <col min="19" max="19" width="9" customWidth="1"/>
    <col min="20" max="20" width="10" bestFit="1" customWidth="1"/>
    <col min="21" max="21" width="7" customWidth="1"/>
    <col min="22" max="22" width="10.7109375" bestFit="1" customWidth="1"/>
  </cols>
  <sheetData>
    <row r="3" spans="1:5" x14ac:dyDescent="0.25">
      <c r="A3" s="3" t="s">
        <v>40</v>
      </c>
      <c r="B3" s="3" t="s">
        <v>42</v>
      </c>
    </row>
    <row r="4" spans="1:5" x14ac:dyDescent="0.25">
      <c r="A4" s="3" t="s">
        <v>25</v>
      </c>
      <c r="B4" t="s">
        <v>43</v>
      </c>
      <c r="C4" t="s">
        <v>45</v>
      </c>
      <c r="D4" t="s">
        <v>44</v>
      </c>
      <c r="E4" t="s">
        <v>26</v>
      </c>
    </row>
    <row r="5" spans="1:5" x14ac:dyDescent="0.25">
      <c r="A5" s="4" t="s">
        <v>13</v>
      </c>
      <c r="B5" s="6">
        <v>105169.98999999999</v>
      </c>
      <c r="C5" s="6">
        <v>42606.33</v>
      </c>
      <c r="D5" s="6">
        <v>211624.88999999998</v>
      </c>
      <c r="E5" s="6">
        <v>359401.20999999996</v>
      </c>
    </row>
    <row r="6" spans="1:5" x14ac:dyDescent="0.25">
      <c r="A6" s="7" t="s">
        <v>22</v>
      </c>
      <c r="B6" s="6"/>
      <c r="C6" s="6"/>
      <c r="D6" s="6"/>
      <c r="E6" s="6"/>
    </row>
    <row r="7" spans="1:5" x14ac:dyDescent="0.25">
      <c r="A7" s="7" t="s">
        <v>18</v>
      </c>
      <c r="B7" s="6"/>
      <c r="C7" s="6">
        <v>42606.33</v>
      </c>
      <c r="D7" s="6">
        <v>211624.88999999998</v>
      </c>
      <c r="E7" s="6">
        <v>254231.21999999997</v>
      </c>
    </row>
    <row r="8" spans="1:5" x14ac:dyDescent="0.25">
      <c r="A8" s="7" t="s">
        <v>19</v>
      </c>
      <c r="B8" s="6">
        <v>45597.99</v>
      </c>
      <c r="C8" s="6"/>
      <c r="D8" s="6"/>
      <c r="E8" s="6">
        <v>45597.99</v>
      </c>
    </row>
    <row r="9" spans="1:5" x14ac:dyDescent="0.25">
      <c r="A9" s="7" t="s">
        <v>21</v>
      </c>
      <c r="B9" s="6"/>
      <c r="C9" s="6"/>
      <c r="D9" s="6"/>
      <c r="E9" s="6"/>
    </row>
    <row r="10" spans="1:5" x14ac:dyDescent="0.25">
      <c r="A10" s="7" t="s">
        <v>20</v>
      </c>
      <c r="B10" s="6">
        <v>59572</v>
      </c>
      <c r="C10" s="6"/>
      <c r="D10" s="6"/>
      <c r="E10" s="6">
        <v>59572</v>
      </c>
    </row>
    <row r="11" spans="1:5" x14ac:dyDescent="0.25">
      <c r="A11" s="4" t="s">
        <v>12</v>
      </c>
      <c r="B11" s="6"/>
      <c r="C11" s="6"/>
      <c r="D11" s="6">
        <v>0</v>
      </c>
      <c r="E11" s="6">
        <v>0</v>
      </c>
    </row>
    <row r="12" spans="1:5" x14ac:dyDescent="0.25">
      <c r="A12" s="7" t="s">
        <v>12</v>
      </c>
      <c r="B12" s="6"/>
      <c r="C12" s="6"/>
      <c r="D12" s="6">
        <v>0</v>
      </c>
      <c r="E12" s="6">
        <v>0</v>
      </c>
    </row>
    <row r="13" spans="1:5" x14ac:dyDescent="0.25">
      <c r="A13" s="4" t="s">
        <v>14</v>
      </c>
      <c r="B13" s="6">
        <v>8561.64</v>
      </c>
      <c r="C13" s="6">
        <v>1320.62</v>
      </c>
      <c r="D13" s="6">
        <v>0</v>
      </c>
      <c r="E13" s="6">
        <v>9882.2599999999984</v>
      </c>
    </row>
    <row r="14" spans="1:5" x14ac:dyDescent="0.25">
      <c r="A14" s="7" t="s">
        <v>24</v>
      </c>
      <c r="B14" s="6">
        <v>8561.64</v>
      </c>
      <c r="C14" s="6"/>
      <c r="D14" s="6"/>
      <c r="E14" s="6">
        <v>8561.64</v>
      </c>
    </row>
    <row r="15" spans="1:5" x14ac:dyDescent="0.25">
      <c r="A15" s="7" t="s">
        <v>18</v>
      </c>
      <c r="B15" s="6"/>
      <c r="C15" s="6">
        <v>1320.62</v>
      </c>
      <c r="D15" s="6">
        <v>0</v>
      </c>
      <c r="E15" s="6">
        <v>1320.62</v>
      </c>
    </row>
    <row r="16" spans="1:5" x14ac:dyDescent="0.25">
      <c r="A16" s="4" t="s">
        <v>38</v>
      </c>
      <c r="B16" s="6"/>
      <c r="C16" s="6"/>
      <c r="D16" s="6"/>
      <c r="E16" s="6"/>
    </row>
    <row r="17" spans="1:5" x14ac:dyDescent="0.25">
      <c r="A17" s="7" t="s">
        <v>38</v>
      </c>
      <c r="B17" s="6"/>
      <c r="C17" s="6"/>
      <c r="D17" s="6"/>
      <c r="E17" s="6"/>
    </row>
    <row r="18" spans="1:5" x14ac:dyDescent="0.25">
      <c r="A18" s="4" t="s">
        <v>15</v>
      </c>
      <c r="B18" s="6"/>
      <c r="C18" s="6"/>
      <c r="D18" s="6">
        <v>19345.650000000001</v>
      </c>
      <c r="E18" s="6">
        <v>19345.650000000001</v>
      </c>
    </row>
    <row r="19" spans="1:5" x14ac:dyDescent="0.25">
      <c r="A19" s="7" t="s">
        <v>18</v>
      </c>
      <c r="B19" s="6"/>
      <c r="C19" s="6"/>
      <c r="D19" s="6">
        <v>19345.650000000001</v>
      </c>
      <c r="E19" s="6">
        <v>19345.650000000001</v>
      </c>
    </row>
    <row r="20" spans="1:5" x14ac:dyDescent="0.25">
      <c r="A20" s="7" t="s">
        <v>37</v>
      </c>
      <c r="B20" s="6"/>
      <c r="C20" s="6"/>
      <c r="D20" s="6"/>
      <c r="E20" s="6"/>
    </row>
    <row r="21" spans="1:5" x14ac:dyDescent="0.25">
      <c r="A21" s="4" t="s">
        <v>35</v>
      </c>
      <c r="B21" s="6"/>
      <c r="C21" s="6"/>
      <c r="D21" s="6">
        <v>123847.85</v>
      </c>
      <c r="E21" s="6">
        <v>123847.85</v>
      </c>
    </row>
    <row r="22" spans="1:5" x14ac:dyDescent="0.25">
      <c r="A22" s="7" t="s">
        <v>18</v>
      </c>
      <c r="B22" s="6"/>
      <c r="C22" s="6"/>
      <c r="D22" s="6">
        <v>123847.85</v>
      </c>
      <c r="E22" s="6">
        <v>123847.85</v>
      </c>
    </row>
    <row r="23" spans="1:5" x14ac:dyDescent="0.25">
      <c r="A23" s="4" t="s">
        <v>16</v>
      </c>
      <c r="B23" s="6">
        <v>12699.11</v>
      </c>
      <c r="C23" s="6"/>
      <c r="D23" s="6">
        <v>5360.21</v>
      </c>
      <c r="E23" s="6">
        <v>18059.32</v>
      </c>
    </row>
    <row r="24" spans="1:5" x14ac:dyDescent="0.25">
      <c r="A24" s="7" t="s">
        <v>18</v>
      </c>
      <c r="B24" s="6"/>
      <c r="C24" s="6"/>
      <c r="D24" s="6">
        <v>5360.21</v>
      </c>
      <c r="E24" s="6">
        <v>5360.21</v>
      </c>
    </row>
    <row r="25" spans="1:5" x14ac:dyDescent="0.25">
      <c r="A25" s="7" t="s">
        <v>23</v>
      </c>
      <c r="B25" s="6">
        <v>12699.11</v>
      </c>
      <c r="C25" s="6"/>
      <c r="D25" s="6"/>
      <c r="E25" s="6">
        <v>12699.11</v>
      </c>
    </row>
    <row r="26" spans="1:5" x14ac:dyDescent="0.25">
      <c r="A26" s="4" t="s">
        <v>26</v>
      </c>
      <c r="B26" s="6">
        <v>126430.73999999999</v>
      </c>
      <c r="C26" s="6">
        <v>43926.950000000004</v>
      </c>
      <c r="D26" s="6">
        <v>360178.60000000003</v>
      </c>
      <c r="E26" s="6">
        <v>530536.29</v>
      </c>
    </row>
  </sheetData>
  <pageMargins left="0.25" right="0.25" top="0.75" bottom="0.75" header="0.3" footer="0.3"/>
  <pageSetup paperSize="9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B25"/>
  <sheetViews>
    <sheetView tabSelected="1" topLeftCell="A7" workbookViewId="0">
      <selection activeCell="B14" sqref="B14"/>
    </sheetView>
  </sheetViews>
  <sheetFormatPr defaultRowHeight="15" x14ac:dyDescent="0.25"/>
  <cols>
    <col min="1" max="1" width="26.140625" customWidth="1"/>
    <col min="2" max="2" width="22.5703125" bestFit="1" customWidth="1"/>
    <col min="3" max="3" width="11.140625" customWidth="1"/>
    <col min="4" max="4" width="12.28515625" customWidth="1"/>
    <col min="5" max="5" width="10.7109375" customWidth="1"/>
    <col min="6" max="6" width="16.28515625" bestFit="1" customWidth="1"/>
    <col min="7" max="7" width="26.85546875" bestFit="1" customWidth="1"/>
    <col min="8" max="8" width="21.42578125" bestFit="1" customWidth="1"/>
    <col min="9" max="9" width="31.85546875" bestFit="1" customWidth="1"/>
    <col min="10" max="10" width="21.42578125" bestFit="1" customWidth="1"/>
    <col min="11" max="11" width="27.5703125" bestFit="1" customWidth="1"/>
    <col min="12" max="12" width="22.5703125" bestFit="1" customWidth="1"/>
    <col min="13" max="13" width="14.7109375" bestFit="1" customWidth="1"/>
    <col min="14" max="14" width="21.42578125" bestFit="1" customWidth="1"/>
    <col min="15" max="15" width="27.5703125" bestFit="1" customWidth="1"/>
    <col min="16" max="16" width="19.7109375" bestFit="1" customWidth="1"/>
    <col min="17" max="17" width="9" customWidth="1"/>
    <col min="18" max="18" width="6" customWidth="1"/>
    <col min="19" max="19" width="9" customWidth="1"/>
    <col min="20" max="20" width="10" bestFit="1" customWidth="1"/>
    <col min="21" max="21" width="7" customWidth="1"/>
    <col min="22" max="22" width="10.7109375" bestFit="1" customWidth="1"/>
  </cols>
  <sheetData>
    <row r="3" spans="1:2" x14ac:dyDescent="0.25">
      <c r="A3" s="3" t="s">
        <v>25</v>
      </c>
      <c r="B3" t="s">
        <v>41</v>
      </c>
    </row>
    <row r="4" spans="1:2" x14ac:dyDescent="0.25">
      <c r="A4" s="4" t="s">
        <v>13</v>
      </c>
      <c r="B4" s="8">
        <v>861.62</v>
      </c>
    </row>
    <row r="5" spans="1:2" x14ac:dyDescent="0.25">
      <c r="A5" s="7" t="s">
        <v>22</v>
      </c>
      <c r="B5" s="8"/>
    </row>
    <row r="6" spans="1:2" x14ac:dyDescent="0.25">
      <c r="A6" s="7" t="s">
        <v>18</v>
      </c>
      <c r="B6" s="8">
        <v>506.59000000000003</v>
      </c>
    </row>
    <row r="7" spans="1:2" x14ac:dyDescent="0.25">
      <c r="A7" s="7" t="s">
        <v>19</v>
      </c>
      <c r="B7" s="8">
        <v>344.97</v>
      </c>
    </row>
    <row r="8" spans="1:2" x14ac:dyDescent="0.25">
      <c r="A8" s="7" t="s">
        <v>21</v>
      </c>
      <c r="B8" s="8"/>
    </row>
    <row r="9" spans="1:2" x14ac:dyDescent="0.25">
      <c r="A9" s="7" t="s">
        <v>20</v>
      </c>
      <c r="B9" s="8">
        <v>10.06</v>
      </c>
    </row>
    <row r="10" spans="1:2" x14ac:dyDescent="0.25">
      <c r="A10" s="4" t="s">
        <v>12</v>
      </c>
      <c r="B10" s="8">
        <v>727.70999999999992</v>
      </c>
    </row>
    <row r="11" spans="1:2" x14ac:dyDescent="0.25">
      <c r="A11" s="7" t="s">
        <v>12</v>
      </c>
      <c r="B11" s="8">
        <v>727.70999999999992</v>
      </c>
    </row>
    <row r="12" spans="1:2" x14ac:dyDescent="0.25">
      <c r="A12" s="4" t="s">
        <v>14</v>
      </c>
      <c r="B12" s="8">
        <v>540.80999999999995</v>
      </c>
    </row>
    <row r="13" spans="1:2" x14ac:dyDescent="0.25">
      <c r="A13" s="7" t="s">
        <v>24</v>
      </c>
      <c r="B13" s="8">
        <v>431.03</v>
      </c>
    </row>
    <row r="14" spans="1:2" x14ac:dyDescent="0.25">
      <c r="A14" s="7" t="s">
        <v>18</v>
      </c>
      <c r="B14" s="8">
        <v>109.78</v>
      </c>
    </row>
    <row r="15" spans="1:2" x14ac:dyDescent="0.25">
      <c r="A15" s="4" t="s">
        <v>38</v>
      </c>
      <c r="B15" s="8">
        <v>1840.92</v>
      </c>
    </row>
    <row r="16" spans="1:2" x14ac:dyDescent="0.25">
      <c r="A16" s="7" t="s">
        <v>38</v>
      </c>
      <c r="B16" s="8">
        <v>1840.92</v>
      </c>
    </row>
    <row r="17" spans="1:2" x14ac:dyDescent="0.25">
      <c r="A17" s="4" t="s">
        <v>15</v>
      </c>
      <c r="B17" s="8">
        <v>3425.2599999999998</v>
      </c>
    </row>
    <row r="18" spans="1:2" x14ac:dyDescent="0.25">
      <c r="A18" s="7" t="s">
        <v>18</v>
      </c>
      <c r="B18" s="8">
        <v>2577.2399999999998</v>
      </c>
    </row>
    <row r="19" spans="1:2" x14ac:dyDescent="0.25">
      <c r="A19" s="7" t="s">
        <v>37</v>
      </c>
      <c r="B19" s="8">
        <v>848.02</v>
      </c>
    </row>
    <row r="20" spans="1:2" x14ac:dyDescent="0.25">
      <c r="A20" s="4" t="s">
        <v>35</v>
      </c>
      <c r="B20" s="8"/>
    </row>
    <row r="21" spans="1:2" x14ac:dyDescent="0.25">
      <c r="A21" s="7" t="s">
        <v>18</v>
      </c>
      <c r="B21" s="8"/>
    </row>
    <row r="22" spans="1:2" x14ac:dyDescent="0.25">
      <c r="A22" s="4" t="s">
        <v>16</v>
      </c>
      <c r="B22" s="8">
        <v>1076.1400000000001</v>
      </c>
    </row>
    <row r="23" spans="1:2" x14ac:dyDescent="0.25">
      <c r="A23" s="7" t="s">
        <v>18</v>
      </c>
      <c r="B23" s="8">
        <v>51.19</v>
      </c>
    </row>
    <row r="24" spans="1:2" x14ac:dyDescent="0.25">
      <c r="A24" s="7" t="s">
        <v>23</v>
      </c>
      <c r="B24" s="8">
        <v>1024.95</v>
      </c>
    </row>
    <row r="25" spans="1:2" x14ac:dyDescent="0.25">
      <c r="A25" s="4" t="s">
        <v>26</v>
      </c>
      <c r="B25" s="8">
        <v>8472.4599999999991</v>
      </c>
    </row>
  </sheetData>
  <pageMargins left="0.25" right="0.25" top="0.75" bottom="0.75" header="0.3" footer="0.3"/>
  <pageSetup paperSize="9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25"/>
  <sheetViews>
    <sheetView topLeftCell="C1" workbookViewId="0">
      <selection activeCell="E8" sqref="E8"/>
    </sheetView>
  </sheetViews>
  <sheetFormatPr defaultRowHeight="15" x14ac:dyDescent="0.25"/>
  <cols>
    <col min="1" max="1" width="26.140625" customWidth="1"/>
    <col min="2" max="2" width="18.140625" customWidth="1"/>
    <col min="3" max="3" width="22.5703125" customWidth="1"/>
    <col min="4" max="4" width="19.42578125" customWidth="1"/>
    <col min="5" max="5" width="14.42578125" customWidth="1"/>
    <col min="6" max="6" width="27.140625" customWidth="1"/>
    <col min="7" max="7" width="15.7109375" customWidth="1"/>
    <col min="8" max="8" width="18.28515625" customWidth="1"/>
    <col min="9" max="9" width="15" bestFit="1" customWidth="1"/>
    <col min="10" max="11" width="13.5703125" bestFit="1" customWidth="1"/>
    <col min="12" max="12" width="14.42578125" bestFit="1" customWidth="1"/>
  </cols>
  <sheetData>
    <row r="3" spans="1:11" x14ac:dyDescent="0.25">
      <c r="A3" s="3" t="s">
        <v>25</v>
      </c>
      <c r="B3" t="s">
        <v>27</v>
      </c>
      <c r="C3" t="s">
        <v>28</v>
      </c>
      <c r="D3" t="s">
        <v>29</v>
      </c>
      <c r="E3" t="s">
        <v>30</v>
      </c>
      <c r="F3" t="s">
        <v>48</v>
      </c>
      <c r="G3" t="s">
        <v>46</v>
      </c>
      <c r="H3" t="s">
        <v>31</v>
      </c>
      <c r="I3" t="s">
        <v>32</v>
      </c>
    </row>
    <row r="4" spans="1:11" x14ac:dyDescent="0.25">
      <c r="A4" s="4" t="s">
        <v>13</v>
      </c>
      <c r="B4" s="6">
        <v>2544508.87</v>
      </c>
      <c r="C4" s="6">
        <v>556946.88</v>
      </c>
      <c r="D4" s="6">
        <v>347178.23999999999</v>
      </c>
      <c r="E4" s="6">
        <v>298825.26</v>
      </c>
      <c r="F4" s="6"/>
      <c r="G4" s="6"/>
      <c r="H4" s="6">
        <v>25058.790000000037</v>
      </c>
      <c r="I4" s="6">
        <v>86496.360000000044</v>
      </c>
    </row>
    <row r="5" spans="1:11" x14ac:dyDescent="0.25">
      <c r="A5" s="7" t="s">
        <v>22</v>
      </c>
      <c r="B5" s="6"/>
      <c r="C5" s="6"/>
      <c r="D5" s="6"/>
      <c r="E5" s="6"/>
      <c r="F5" s="6"/>
      <c r="G5" s="6"/>
      <c r="H5" s="6">
        <v>0</v>
      </c>
      <c r="I5" s="6">
        <v>0</v>
      </c>
    </row>
    <row r="6" spans="1:11" x14ac:dyDescent="0.25">
      <c r="A6" s="7" t="s">
        <v>18</v>
      </c>
      <c r="B6" s="6">
        <v>1955009</v>
      </c>
      <c r="C6" s="6">
        <v>460030.19</v>
      </c>
      <c r="D6" s="6">
        <v>273157.06</v>
      </c>
      <c r="E6" s="6">
        <v>227624.88999999998</v>
      </c>
      <c r="F6" s="6"/>
      <c r="G6" s="6"/>
      <c r="H6" s="6">
        <v>22885.75</v>
      </c>
      <c r="I6" s="6">
        <v>49998.670000000006</v>
      </c>
    </row>
    <row r="7" spans="1:11" x14ac:dyDescent="0.25">
      <c r="A7" s="7" t="s">
        <v>19</v>
      </c>
      <c r="B7" s="6">
        <v>203675.87</v>
      </c>
      <c r="C7" s="6">
        <v>46529</v>
      </c>
      <c r="D7" s="6">
        <v>23633.49</v>
      </c>
      <c r="E7" s="6">
        <v>20812.68</v>
      </c>
      <c r="F7" s="6"/>
      <c r="G7" s="6"/>
      <c r="H7" s="6">
        <v>2173.0400000000373</v>
      </c>
      <c r="I7" s="6">
        <v>27303.320000000036</v>
      </c>
    </row>
    <row r="8" spans="1:11" x14ac:dyDescent="0.25">
      <c r="A8" s="7" t="s">
        <v>21</v>
      </c>
      <c r="B8" s="6"/>
      <c r="C8" s="6"/>
      <c r="D8" s="6"/>
      <c r="E8" s="6"/>
      <c r="F8" s="6"/>
      <c r="G8" s="6"/>
      <c r="H8" s="6">
        <v>0</v>
      </c>
      <c r="I8" s="6">
        <v>0</v>
      </c>
    </row>
    <row r="9" spans="1:11" x14ac:dyDescent="0.25">
      <c r="A9" s="7" t="s">
        <v>20</v>
      </c>
      <c r="B9" s="6">
        <v>385824</v>
      </c>
      <c r="C9" s="6">
        <v>50387.69</v>
      </c>
      <c r="D9" s="6">
        <v>50387.69</v>
      </c>
      <c r="E9" s="6">
        <v>50387.69</v>
      </c>
      <c r="F9" s="6"/>
      <c r="G9" s="6"/>
      <c r="H9" s="6">
        <v>0</v>
      </c>
      <c r="I9" s="6">
        <v>9194.3699999999953</v>
      </c>
    </row>
    <row r="10" spans="1:11" x14ac:dyDescent="0.25">
      <c r="A10" s="4" t="s">
        <v>12</v>
      </c>
      <c r="B10" s="6">
        <v>66991.929999999993</v>
      </c>
      <c r="C10" s="6">
        <v>66991.929999999993</v>
      </c>
      <c r="D10" s="6"/>
      <c r="E10" s="6"/>
      <c r="F10" s="6"/>
      <c r="G10" s="6"/>
      <c r="H10" s="6">
        <v>41619.800000000003</v>
      </c>
      <c r="I10" s="6">
        <v>42347.51</v>
      </c>
    </row>
    <row r="11" spans="1:11" x14ac:dyDescent="0.25">
      <c r="A11" s="7" t="s">
        <v>12</v>
      </c>
      <c r="B11" s="6">
        <v>66991.929999999993</v>
      </c>
      <c r="C11" s="6">
        <v>66991.929999999993</v>
      </c>
      <c r="D11" s="6"/>
      <c r="E11" s="6"/>
      <c r="F11" s="6"/>
      <c r="G11" s="6"/>
      <c r="H11" s="6">
        <v>41619.800000000003</v>
      </c>
      <c r="I11" s="6">
        <v>42347.51</v>
      </c>
      <c r="J11" s="6"/>
      <c r="K11" s="6"/>
    </row>
    <row r="12" spans="1:11" x14ac:dyDescent="0.25">
      <c r="A12" s="4" t="s">
        <v>14</v>
      </c>
      <c r="B12" s="6">
        <v>167639.64000000001</v>
      </c>
      <c r="C12" s="6">
        <v>2895.62</v>
      </c>
      <c r="D12" s="6"/>
      <c r="E12" s="6"/>
      <c r="F12" s="6"/>
      <c r="G12" s="6"/>
      <c r="H12" s="6">
        <v>30479.119999999995</v>
      </c>
      <c r="I12" s="6">
        <v>40902.189999999995</v>
      </c>
    </row>
    <row r="13" spans="1:11" x14ac:dyDescent="0.25">
      <c r="A13" s="7" t="s">
        <v>24</v>
      </c>
      <c r="B13" s="6">
        <v>36792.199999999997</v>
      </c>
      <c r="C13" s="6"/>
      <c r="D13" s="6"/>
      <c r="E13" s="6"/>
      <c r="F13" s="6"/>
      <c r="G13" s="6"/>
      <c r="H13" s="6">
        <v>25329.909999999996</v>
      </c>
      <c r="I13" s="6">
        <v>34322.579999999994</v>
      </c>
    </row>
    <row r="14" spans="1:11" x14ac:dyDescent="0.25">
      <c r="A14" s="7" t="s">
        <v>18</v>
      </c>
      <c r="B14" s="6">
        <v>130847.44</v>
      </c>
      <c r="C14" s="6">
        <v>2895.62</v>
      </c>
      <c r="D14" s="6"/>
      <c r="E14" s="6"/>
      <c r="F14" s="6"/>
      <c r="G14" s="6"/>
      <c r="H14" s="6">
        <v>5149.21</v>
      </c>
      <c r="I14" s="6">
        <v>6579.61</v>
      </c>
    </row>
    <row r="15" spans="1:11" x14ac:dyDescent="0.25">
      <c r="A15" s="4" t="s">
        <v>38</v>
      </c>
      <c r="B15" s="6">
        <v>100000</v>
      </c>
      <c r="C15" s="6"/>
      <c r="D15" s="6"/>
      <c r="E15" s="6"/>
      <c r="F15" s="6"/>
      <c r="G15" s="6"/>
      <c r="H15" s="6">
        <v>100000</v>
      </c>
      <c r="I15" s="6">
        <v>101840.92</v>
      </c>
    </row>
    <row r="16" spans="1:11" x14ac:dyDescent="0.25">
      <c r="A16" s="7" t="s">
        <v>38</v>
      </c>
      <c r="B16" s="6">
        <v>100000</v>
      </c>
      <c r="C16" s="6"/>
      <c r="D16" s="6"/>
      <c r="E16" s="6"/>
      <c r="F16" s="6"/>
      <c r="G16" s="6"/>
      <c r="H16" s="6">
        <v>100000</v>
      </c>
      <c r="I16" s="6">
        <v>101840.92</v>
      </c>
      <c r="J16" s="6"/>
      <c r="K16" s="6"/>
    </row>
    <row r="17" spans="1:12" x14ac:dyDescent="0.25">
      <c r="A17" s="4" t="s">
        <v>15</v>
      </c>
      <c r="B17" s="6">
        <v>555000</v>
      </c>
      <c r="C17" s="6">
        <v>368337.4</v>
      </c>
      <c r="D17" s="6">
        <v>19570.650000000001</v>
      </c>
      <c r="E17" s="6">
        <v>19345.650000000001</v>
      </c>
      <c r="F17" s="6"/>
      <c r="G17" s="6">
        <v>5200</v>
      </c>
      <c r="H17" s="6">
        <v>208747.19</v>
      </c>
      <c r="I17" s="6">
        <v>206972.44999999998</v>
      </c>
    </row>
    <row r="18" spans="1:12" x14ac:dyDescent="0.25">
      <c r="A18" s="7" t="s">
        <v>18</v>
      </c>
      <c r="B18" s="6">
        <v>555000</v>
      </c>
      <c r="C18" s="6">
        <v>368337.4</v>
      </c>
      <c r="D18" s="6">
        <v>19570.650000000001</v>
      </c>
      <c r="E18" s="6">
        <v>19345.650000000001</v>
      </c>
      <c r="F18" s="6"/>
      <c r="G18" s="6"/>
      <c r="H18" s="6">
        <v>158624.24</v>
      </c>
      <c r="I18" s="6">
        <v>161201.47999999998</v>
      </c>
    </row>
    <row r="19" spans="1:12" x14ac:dyDescent="0.25">
      <c r="A19" s="7" t="s">
        <v>37</v>
      </c>
      <c r="B19" s="6"/>
      <c r="C19" s="6"/>
      <c r="D19" s="6"/>
      <c r="E19" s="6"/>
      <c r="F19" s="6"/>
      <c r="G19" s="6">
        <v>5200</v>
      </c>
      <c r="H19" s="6">
        <v>50122.95</v>
      </c>
      <c r="I19" s="6">
        <v>45770.969999999994</v>
      </c>
    </row>
    <row r="20" spans="1:12" x14ac:dyDescent="0.25">
      <c r="A20" s="4" t="s">
        <v>35</v>
      </c>
      <c r="B20" s="6">
        <v>661535</v>
      </c>
      <c r="C20" s="6">
        <v>170615.13</v>
      </c>
      <c r="D20" s="6">
        <v>133309.43</v>
      </c>
      <c r="E20" s="6">
        <v>123847.85</v>
      </c>
      <c r="F20" s="6"/>
      <c r="G20" s="6"/>
      <c r="H20" s="6">
        <v>728.88000000000011</v>
      </c>
      <c r="I20" s="6">
        <v>728.88000000000011</v>
      </c>
    </row>
    <row r="21" spans="1:12" x14ac:dyDescent="0.25">
      <c r="A21" s="7" t="s">
        <v>18</v>
      </c>
      <c r="B21" s="6">
        <v>661535</v>
      </c>
      <c r="C21" s="6">
        <v>170615.13</v>
      </c>
      <c r="D21" s="6">
        <v>133309.43</v>
      </c>
      <c r="E21" s="6">
        <v>123847.85</v>
      </c>
      <c r="F21" s="6"/>
      <c r="G21" s="6"/>
      <c r="H21" s="6">
        <v>728.88000000000011</v>
      </c>
      <c r="I21" s="6">
        <v>728.88000000000011</v>
      </c>
      <c r="J21" s="6"/>
      <c r="K21" s="6"/>
      <c r="L21" s="6"/>
    </row>
    <row r="22" spans="1:12" x14ac:dyDescent="0.25">
      <c r="A22" s="4" t="s">
        <v>16</v>
      </c>
      <c r="B22" s="6">
        <v>80458.010000000009</v>
      </c>
      <c r="C22" s="6">
        <v>20278.05</v>
      </c>
      <c r="D22" s="6">
        <v>15322.51</v>
      </c>
      <c r="E22" s="6">
        <v>13547.51</v>
      </c>
      <c r="F22" s="6"/>
      <c r="G22" s="6"/>
      <c r="H22" s="6">
        <v>64889.979999999996</v>
      </c>
      <c r="I22" s="6">
        <v>70477.929999999993</v>
      </c>
      <c r="L22" s="6"/>
    </row>
    <row r="23" spans="1:12" x14ac:dyDescent="0.25">
      <c r="A23" s="7" t="s">
        <v>18</v>
      </c>
      <c r="B23" s="6">
        <v>45040</v>
      </c>
      <c r="C23" s="6">
        <v>12090.75</v>
      </c>
      <c r="D23" s="6">
        <v>7135.21</v>
      </c>
      <c r="E23" s="6">
        <v>5360.21</v>
      </c>
      <c r="F23" s="6"/>
      <c r="G23" s="6"/>
      <c r="H23" s="6">
        <v>2597.37</v>
      </c>
      <c r="I23" s="6">
        <v>2648.56</v>
      </c>
    </row>
    <row r="24" spans="1:12" x14ac:dyDescent="0.25">
      <c r="A24" s="7" t="s">
        <v>23</v>
      </c>
      <c r="B24" s="6">
        <v>35418.01</v>
      </c>
      <c r="C24" s="6">
        <v>8187.3</v>
      </c>
      <c r="D24" s="6">
        <v>8187.3</v>
      </c>
      <c r="E24" s="6">
        <v>8187.3</v>
      </c>
      <c r="F24" s="6"/>
      <c r="G24" s="6"/>
      <c r="H24" s="6">
        <v>62292.609999999993</v>
      </c>
      <c r="I24" s="6">
        <v>67829.37</v>
      </c>
    </row>
    <row r="25" spans="1:12" x14ac:dyDescent="0.25">
      <c r="A25" s="4" t="s">
        <v>26</v>
      </c>
      <c r="B25" s="6">
        <v>4176133.45</v>
      </c>
      <c r="C25" s="6">
        <v>1186065.01</v>
      </c>
      <c r="D25" s="6">
        <v>515380.83</v>
      </c>
      <c r="E25" s="6">
        <v>455566.27</v>
      </c>
      <c r="F25" s="6"/>
      <c r="G25" s="6">
        <v>5200</v>
      </c>
      <c r="H25" s="6">
        <v>471523.76</v>
      </c>
      <c r="I25" s="6">
        <v>549766.24</v>
      </c>
    </row>
  </sheetData>
  <pageMargins left="0.25" right="0.25" top="0.75" bottom="0.75" header="0.3" footer="0.3"/>
  <pageSetup paperSize="9" scale="8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POR FONTE</vt:lpstr>
      <vt:lpstr>RECEITAS</vt:lpstr>
      <vt:lpstr>RENDIMENTOS</vt:lpstr>
      <vt:lpstr>DESPESAS e SALDOS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</dc:creator>
  <cp:lastModifiedBy>Everton</cp:lastModifiedBy>
  <cp:lastPrinted>2016-03-15T16:24:20Z</cp:lastPrinted>
  <dcterms:created xsi:type="dcterms:W3CDTF">2013-04-03T17:16:46Z</dcterms:created>
  <dcterms:modified xsi:type="dcterms:W3CDTF">2016-03-15T16:25:48Z</dcterms:modified>
</cp:coreProperties>
</file>